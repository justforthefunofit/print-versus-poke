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Doc\Sjef\blog\YouTube\print-versus-poke\"/>
    </mc:Choice>
  </mc:AlternateContent>
  <xr:revisionPtr revIDLastSave="0" documentId="8_{561A04EB-1419-478B-83EE-A8D495A48566}" xr6:coauthVersionLast="47" xr6:coauthVersionMax="47" xr10:uidLastSave="{00000000-0000-0000-0000-000000000000}"/>
  <bookViews>
    <workbookView xWindow="-98" yWindow="-98" windowWidth="20715" windowHeight="13155" xr2:uid="{DDE0BFB1-E7BA-4E1E-9DED-89ABDD25BF88}"/>
  </bookViews>
  <sheets>
    <sheet name="SpriteCreator" sheetId="4" r:id="rId1"/>
    <sheet name="Char to Screen Byte Value" sheetId="2" r:id="rId2"/>
    <sheet name="Sprite-exampl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5" i="4" l="1"/>
  <c r="AC27" i="4"/>
  <c r="AG27" i="4" s="1"/>
  <c r="Q19" i="2"/>
  <c r="Q17" i="2"/>
  <c r="Q15" i="2"/>
  <c r="Q13" i="2"/>
  <c r="Q11" i="2"/>
  <c r="Q9" i="2"/>
  <c r="Q7" i="2"/>
  <c r="Q5" i="2"/>
  <c r="AE27" i="4"/>
  <c r="AK27" i="4" s="1"/>
  <c r="AD27" i="4"/>
  <c r="AI27" i="4" s="1"/>
  <c r="AE26" i="4"/>
  <c r="AL26" i="4" s="1"/>
  <c r="AD26" i="4"/>
  <c r="AI26" i="4" s="1"/>
  <c r="AC26" i="4"/>
  <c r="AH26" i="4" s="1"/>
  <c r="AE25" i="4"/>
  <c r="AL25" i="4" s="1"/>
  <c r="AD25" i="4"/>
  <c r="AI25" i="4" s="1"/>
  <c r="AC25" i="4"/>
  <c r="AG25" i="4" s="1"/>
  <c r="AE24" i="4"/>
  <c r="AL24" i="4" s="1"/>
  <c r="AD24" i="4"/>
  <c r="AJ24" i="4" s="1"/>
  <c r="AC24" i="4"/>
  <c r="AG24" i="4" s="1"/>
  <c r="AE23" i="4"/>
  <c r="AK23" i="4" s="1"/>
  <c r="AD23" i="4"/>
  <c r="AJ23" i="4" s="1"/>
  <c r="AC23" i="4"/>
  <c r="AG23" i="4" s="1"/>
  <c r="AE22" i="4"/>
  <c r="AK22" i="4" s="1"/>
  <c r="AD22" i="4"/>
  <c r="AJ22" i="4" s="1"/>
  <c r="AC22" i="4"/>
  <c r="AH22" i="4" s="1"/>
  <c r="AE21" i="4"/>
  <c r="AK21" i="4" s="1"/>
  <c r="AD21" i="4"/>
  <c r="AI21" i="4" s="1"/>
  <c r="AC21" i="4"/>
  <c r="AH21" i="4" s="1"/>
  <c r="AE20" i="4"/>
  <c r="AK20" i="4" s="1"/>
  <c r="AD20" i="4"/>
  <c r="AI20" i="4" s="1"/>
  <c r="AC20" i="4"/>
  <c r="AE19" i="4"/>
  <c r="AK19" i="4" s="1"/>
  <c r="AD19" i="4"/>
  <c r="AI19" i="4" s="1"/>
  <c r="AC19" i="4"/>
  <c r="AG19" i="4" s="1"/>
  <c r="AE18" i="4"/>
  <c r="AL18" i="4" s="1"/>
  <c r="AD18" i="4"/>
  <c r="AI18" i="4" s="1"/>
  <c r="AC18" i="4"/>
  <c r="AE17" i="4"/>
  <c r="AL17" i="4" s="1"/>
  <c r="AD17" i="4"/>
  <c r="AI17" i="4" s="1"/>
  <c r="AC17" i="4"/>
  <c r="AG17" i="4" s="1"/>
  <c r="AE16" i="4"/>
  <c r="AL16" i="4" s="1"/>
  <c r="AD16" i="4"/>
  <c r="AJ16" i="4" s="1"/>
  <c r="AC16" i="4"/>
  <c r="AG16" i="4" s="1"/>
  <c r="AE15" i="4"/>
  <c r="AK15" i="4" s="1"/>
  <c r="AD15" i="4"/>
  <c r="AJ15" i="4" s="1"/>
  <c r="AC15" i="4"/>
  <c r="AG15" i="4" s="1"/>
  <c r="AE14" i="4"/>
  <c r="AK14" i="4" s="1"/>
  <c r="AD14" i="4"/>
  <c r="AJ14" i="4" s="1"/>
  <c r="AC14" i="4"/>
  <c r="AG14" i="4" s="1"/>
  <c r="AE13" i="4"/>
  <c r="AK13" i="4" s="1"/>
  <c r="AD13" i="4"/>
  <c r="AI13" i="4" s="1"/>
  <c r="AC13" i="4"/>
  <c r="AG13" i="4" s="1"/>
  <c r="AE12" i="4"/>
  <c r="AK12" i="4" s="1"/>
  <c r="AD12" i="4"/>
  <c r="AI12" i="4" s="1"/>
  <c r="AC12" i="4"/>
  <c r="AE11" i="4"/>
  <c r="AK11" i="4" s="1"/>
  <c r="AD11" i="4"/>
  <c r="AI11" i="4" s="1"/>
  <c r="AC11" i="4"/>
  <c r="AH11" i="4" s="1"/>
  <c r="AE10" i="4"/>
  <c r="AL10" i="4" s="1"/>
  <c r="AD10" i="4"/>
  <c r="AI10" i="4" s="1"/>
  <c r="AC10" i="4"/>
  <c r="AG10" i="4" s="1"/>
  <c r="AE9" i="4"/>
  <c r="AL9" i="4" s="1"/>
  <c r="AD9" i="4"/>
  <c r="AI9" i="4" s="1"/>
  <c r="AC9" i="4"/>
  <c r="AH9" i="4" s="1"/>
  <c r="AE8" i="4"/>
  <c r="AL8" i="4" s="1"/>
  <c r="AD8" i="4"/>
  <c r="AJ8" i="4" s="1"/>
  <c r="AC8" i="4"/>
  <c r="AG8" i="4" s="1"/>
  <c r="AE7" i="4"/>
  <c r="AK7" i="4" s="1"/>
  <c r="AD7" i="4"/>
  <c r="AI7" i="4" s="1"/>
  <c r="AC7" i="4"/>
  <c r="AG7" i="4" s="1"/>
  <c r="AG21" i="4" l="1"/>
  <c r="AI23" i="4"/>
  <c r="AI15" i="4"/>
  <c r="AJ7" i="4"/>
  <c r="AK25" i="4"/>
  <c r="AK24" i="4"/>
  <c r="AO12" i="4"/>
  <c r="AO20" i="4"/>
  <c r="AK17" i="4"/>
  <c r="AO23" i="4"/>
  <c r="AG22" i="4"/>
  <c r="AL13" i="4"/>
  <c r="AH27" i="4"/>
  <c r="AJ27" i="4"/>
  <c r="AK16" i="4"/>
  <c r="AJ20" i="4"/>
  <c r="AK9" i="4"/>
  <c r="AO7" i="4"/>
  <c r="AG11" i="4"/>
  <c r="AH24" i="4"/>
  <c r="AJ19" i="4"/>
  <c r="AL22" i="4"/>
  <c r="AO18" i="4"/>
  <c r="AO26" i="4"/>
  <c r="AH18" i="4"/>
  <c r="AJ12" i="4"/>
  <c r="AL21" i="4"/>
  <c r="AO10" i="4"/>
  <c r="AH10" i="4"/>
  <c r="AJ11" i="4"/>
  <c r="AL14" i="4"/>
  <c r="AG12" i="4"/>
  <c r="AH19" i="4"/>
  <c r="AI24" i="4"/>
  <c r="AI16" i="4"/>
  <c r="AI8" i="4"/>
  <c r="AJ21" i="4"/>
  <c r="AJ13" i="4"/>
  <c r="AK26" i="4"/>
  <c r="AK18" i="4"/>
  <c r="AK10" i="4"/>
  <c r="AL23" i="4"/>
  <c r="AL15" i="4"/>
  <c r="AH17" i="4"/>
  <c r="AI14" i="4"/>
  <c r="AG9" i="4"/>
  <c r="AH16" i="4"/>
  <c r="AH8" i="4"/>
  <c r="AJ26" i="4"/>
  <c r="AJ18" i="4"/>
  <c r="AJ10" i="4"/>
  <c r="AL7" i="4"/>
  <c r="AL20" i="4"/>
  <c r="AL12" i="4"/>
  <c r="AG20" i="4"/>
  <c r="AH23" i="4"/>
  <c r="AH15" i="4"/>
  <c r="AJ25" i="4"/>
  <c r="AJ17" i="4"/>
  <c r="AJ9" i="4"/>
  <c r="AL27" i="4"/>
  <c r="AL19" i="4"/>
  <c r="AL11" i="4"/>
  <c r="AH14" i="4"/>
  <c r="AK8" i="4"/>
  <c r="AG26" i="4"/>
  <c r="AG18" i="4"/>
  <c r="AH13" i="4"/>
  <c r="AH25" i="4"/>
  <c r="AI22" i="4"/>
  <c r="AO11" i="4"/>
  <c r="AO16" i="4"/>
  <c r="AO19" i="4"/>
  <c r="AO27" i="4"/>
  <c r="AH7" i="4"/>
  <c r="AH20" i="4"/>
  <c r="AH12" i="4"/>
  <c r="AO8" i="4"/>
  <c r="AO13" i="4"/>
  <c r="AO14" i="4"/>
  <c r="AO24" i="4"/>
  <c r="AO22" i="4"/>
  <c r="AO21" i="4"/>
  <c r="AO17" i="4"/>
  <c r="AO15" i="4"/>
  <c r="AO9" i="4"/>
  <c r="AO25" i="4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K2" i="2"/>
  <c r="J2" i="2"/>
  <c r="I2" i="2"/>
  <c r="H2" i="2"/>
  <c r="G2" i="2"/>
  <c r="F2" i="2"/>
  <c r="E2" i="2"/>
  <c r="D2" i="2"/>
  <c r="AM25" i="4" l="1"/>
  <c r="AM23" i="4"/>
  <c r="AM22" i="4"/>
  <c r="AM21" i="4"/>
  <c r="AM16" i="4"/>
  <c r="AM14" i="4"/>
  <c r="AM7" i="4"/>
  <c r="AM15" i="4"/>
  <c r="AM8" i="4"/>
  <c r="AM10" i="4"/>
  <c r="AM19" i="4"/>
  <c r="AM27" i="4"/>
  <c r="AM13" i="4"/>
  <c r="AM17" i="4"/>
  <c r="AM24" i="4"/>
  <c r="AM18" i="4"/>
  <c r="AM9" i="4"/>
  <c r="AM11" i="4"/>
  <c r="AM26" i="4"/>
  <c r="AM12" i="4"/>
  <c r="AM20" i="4"/>
  <c r="AG34" i="4" l="1"/>
  <c r="AG30" i="4"/>
</calcChain>
</file>

<file path=xl/sharedStrings.xml><?xml version="1.0" encoding="utf-8"?>
<sst xmlns="http://schemas.openxmlformats.org/spreadsheetml/2006/main" count="28" uniqueCount="22">
  <si>
    <t>Char</t>
  </si>
  <si>
    <t>Pattern</t>
  </si>
  <si>
    <t>Inverse</t>
  </si>
  <si>
    <t>Off</t>
  </si>
  <si>
    <t>Byte Value</t>
  </si>
  <si>
    <t>Value</t>
  </si>
  <si>
    <t>Create a Commodore 64 sprite using Excel</t>
  </si>
  <si>
    <t>Start line number:</t>
  </si>
  <si>
    <t>Sprite data</t>
  </si>
  <si>
    <t>Basic data code</t>
  </si>
  <si>
    <t>Show sprite</t>
  </si>
  <si>
    <t>row</t>
  </si>
  <si>
    <t>100 rem -------------------------------
110 rem - Just for the fun of it (2022)
120 rem -------------------------------
130 print chr$(147): rem clear screen
140 sm=12800       : rem sprite memory start adres
150 forx=0to62     : rem loop to read sprite data
160  read y        : rem read a byte
170  poke sm+x,y   : rem put data in spritememory
180 next           : rem read next byte
190 rem -------------------------------
200 rem show sprite on screen
210 rem -------------------------------
220 poke 53287,4   : rem sprite color
230 poke 2040,200  : rem sprite pointer to memory = 12800 / 64
240 poke 53248,120 : rem X-position
250 poke 53249,100 : rem Y-position
260 poke 53277,0   : rem X size to max
270 poke 53271,0   : rem Y size to max
280 poke 53269,15  : rem show all sprites</t>
  </si>
  <si>
    <t>IN</t>
  </si>
  <si>
    <t>CBM-String</t>
  </si>
  <si>
    <t>Part 1</t>
  </si>
  <si>
    <t>Part 2</t>
  </si>
  <si>
    <t>Count:</t>
  </si>
  <si>
    <t>OFF
(146)</t>
  </si>
  <si>
    <t xml:space="preserve">ON
(18)
</t>
  </si>
  <si>
    <t>Byte</t>
  </si>
  <si>
    <t>{146}{64}{64}{64}{64}{64}{64}{70}{64}{160}{70}{64}{160}{65}{18}{65}{64}{146}{65}{18}{65}{64}{146}{71}{18}{191}{160}{146}{95}{18}{191}{160}{146}{92}{18}{190}{146}{184}{92}{18}{190}{146}{184}{191}{18}{191}{190}{146}{191}{18}{191}{190}{146}{167}{18}{191}{190}{146}{166}{64}{166}{166}{64}{166}{65}{18}{167}{64}{146}{65}{18}{167}{64}{146}{64}{64}{64}{64}{64}{64}{64}{64}{64}{64}{64}{64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</si>
</sst>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0"/>
      <color theme="1"/>
      <name val="Courier New"/>
      <family val="3"/>
    </font>
    <font>
      <sz val="9"/>
      <color theme="1"/>
      <name val="Courier New"/>
      <family val="3"/>
    </font>
    <font>
      <b/>
      <sz val="11"/>
      <color theme="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0" xfId="0" applyFill="1"/>
    <xf numFmtId="0" fontId="0" fillId="0" borderId="2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" fillId="2" borderId="0" xfId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/>
    <xf numFmtId="0" fontId="0" fillId="7" borderId="0" xfId="0" applyFill="1" applyAlignment="1">
      <alignment horizontal="left" vertical="center"/>
    </xf>
    <xf numFmtId="0" fontId="5" fillId="0" borderId="0" xfId="0" applyFont="1"/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0" fillId="12" borderId="1" xfId="0" applyFill="1" applyBorder="1"/>
    <xf numFmtId="0" fontId="0" fillId="6" borderId="1" xfId="0" applyFill="1" applyBorder="1"/>
    <xf numFmtId="0" fontId="0" fillId="0" borderId="1" xfId="0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5" borderId="6" xfId="0" applyFill="1" applyBorder="1"/>
    <xf numFmtId="0" fontId="4" fillId="11" borderId="0" xfId="0" applyFont="1" applyFill="1" applyAlignment="1">
      <alignment horizontal="left" vertical="top"/>
    </xf>
    <xf numFmtId="0" fontId="0" fillId="7" borderId="0" xfId="0" applyFill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3" fillId="8" borderId="0" xfId="0" applyFont="1" applyFill="1" applyAlignment="1">
      <alignment horizontal="center"/>
    </xf>
    <xf numFmtId="0" fontId="2" fillId="8" borderId="0" xfId="0" applyFont="1" applyFill="1" applyAlignment="1">
      <alignment horizontal="left" vertical="center"/>
    </xf>
    <xf numFmtId="0" fontId="2" fillId="8" borderId="0" xfId="0" applyFont="1" applyFill="1" applyAlignment="1">
      <alignment horizontal="center"/>
    </xf>
    <xf numFmtId="0" fontId="4" fillId="11" borderId="0" xfId="0" applyFont="1" applyFill="1" applyAlignment="1">
      <alignment horizontal="left" vertical="top" wrapText="1"/>
    </xf>
    <xf numFmtId="0" fontId="0" fillId="4" borderId="1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">
    <dxf>
      <font>
        <color theme="0" tint="-0.14996795556505021"/>
      </font>
      <fill>
        <patternFill>
          <bgColor rgb="FF0070C0"/>
        </patternFill>
      </fill>
    </dxf>
    <dxf>
      <font>
        <color theme="0" tint="-0.14996795556505021"/>
      </font>
      <fill>
        <patternFill>
          <bgColor rgb="FF0070C0"/>
        </patternFill>
      </fill>
    </dxf>
    <dxf>
      <font>
        <color theme="0" tint="-0.14996795556505021"/>
      </font>
      <fill>
        <patternFill>
          <bgColor rgb="FF0070C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color theme="0" tint="-0.14996795556505021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85726</xdr:colOff>
      <xdr:row>37</xdr:row>
      <xdr:rowOff>57150</xdr:rowOff>
    </xdr:from>
    <xdr:to>
      <xdr:col>31</xdr:col>
      <xdr:colOff>66676</xdr:colOff>
      <xdr:row>39</xdr:row>
      <xdr:rowOff>66675</xdr:rowOff>
    </xdr:to>
    <xdr:sp macro="[0]!CreateSpriteStr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4F83F26-5C51-22A0-A7DC-5424923C9522}"/>
            </a:ext>
          </a:extLst>
        </xdr:cNvPr>
        <xdr:cNvSpPr/>
      </xdr:nvSpPr>
      <xdr:spPr>
        <a:xfrm>
          <a:off x="6943726" y="7572375"/>
          <a:ext cx="1466850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Create Clean</a:t>
          </a:r>
          <a:r>
            <a:rPr lang="en-GB" sz="1100" baseline="0"/>
            <a:t> String</a:t>
          </a:r>
        </a:p>
        <a:p>
          <a:pPr algn="ctr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CEE5-1EA4-4C0F-B132-3E4A56181D48}">
  <sheetPr codeName="Sheet1"/>
  <dimension ref="A4:BA45"/>
  <sheetViews>
    <sheetView tabSelected="1" zoomScale="70" zoomScaleNormal="70" workbookViewId="0">
      <selection activeCell="S7" sqref="S7"/>
    </sheetView>
  </sheetViews>
  <sheetFormatPr defaultRowHeight="14.25" x14ac:dyDescent="0.45"/>
  <cols>
    <col min="1" max="1" width="6.3984375" customWidth="1"/>
    <col min="2" max="2" width="5.3984375" customWidth="1"/>
    <col min="3" max="3" width="3.59765625" customWidth="1"/>
    <col min="4" max="27" width="3.3984375" customWidth="1"/>
    <col min="28" max="28" width="5.1328125" customWidth="1"/>
    <col min="29" max="31" width="7.3984375" customWidth="1"/>
    <col min="32" max="38" width="5.1328125" customWidth="1"/>
    <col min="39" max="39" width="30.73046875" bestFit="1" customWidth="1"/>
    <col min="40" max="40" width="5.1328125" customWidth="1"/>
    <col min="42" max="42" width="8.73046875" customWidth="1"/>
    <col min="43" max="43" width="7" customWidth="1"/>
  </cols>
  <sheetData>
    <row r="4" spans="1:53" ht="18" x14ac:dyDescent="0.55000000000000004">
      <c r="D4" s="39" t="s">
        <v>6</v>
      </c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O4" s="40" t="s">
        <v>7</v>
      </c>
      <c r="AP4" s="40"/>
      <c r="AQ4" s="15">
        <v>1000</v>
      </c>
    </row>
    <row r="6" spans="1:53" ht="14.65" thickBot="1" x14ac:dyDescent="0.5">
      <c r="D6" s="32">
        <v>8</v>
      </c>
      <c r="E6" s="32">
        <v>7</v>
      </c>
      <c r="F6" s="32">
        <v>6</v>
      </c>
      <c r="G6" s="32">
        <v>5</v>
      </c>
      <c r="H6" s="32">
        <v>4</v>
      </c>
      <c r="I6" s="32">
        <v>3</v>
      </c>
      <c r="J6" s="32">
        <v>2</v>
      </c>
      <c r="K6" s="32">
        <v>1</v>
      </c>
      <c r="L6" s="33">
        <v>8</v>
      </c>
      <c r="M6" s="33">
        <v>7</v>
      </c>
      <c r="N6" s="33">
        <v>6</v>
      </c>
      <c r="O6" s="33">
        <v>5</v>
      </c>
      <c r="P6" s="33">
        <v>4</v>
      </c>
      <c r="Q6" s="33">
        <v>3</v>
      </c>
      <c r="R6" s="33">
        <v>2</v>
      </c>
      <c r="S6" s="33">
        <v>1</v>
      </c>
      <c r="T6" s="32">
        <v>8</v>
      </c>
      <c r="U6" s="32">
        <v>7</v>
      </c>
      <c r="V6" s="32">
        <v>6</v>
      </c>
      <c r="W6" s="32">
        <v>5</v>
      </c>
      <c r="X6" s="32">
        <v>4</v>
      </c>
      <c r="Y6" s="32">
        <v>3</v>
      </c>
      <c r="Z6" s="32">
        <v>2</v>
      </c>
      <c r="AA6" s="32">
        <v>1</v>
      </c>
      <c r="AC6" s="41" t="s">
        <v>8</v>
      </c>
      <c r="AD6" s="41"/>
      <c r="AE6" s="41"/>
      <c r="AG6" s="13" t="s">
        <v>13</v>
      </c>
      <c r="AH6" s="12" t="s">
        <v>0</v>
      </c>
      <c r="AI6" s="13" t="s">
        <v>13</v>
      </c>
      <c r="AJ6" s="12" t="s">
        <v>0</v>
      </c>
      <c r="AK6" s="13" t="s">
        <v>13</v>
      </c>
      <c r="AL6" s="12" t="s">
        <v>0</v>
      </c>
      <c r="AO6" s="41" t="s">
        <v>9</v>
      </c>
      <c r="AP6" s="41"/>
      <c r="AQ6" s="41"/>
      <c r="AS6" s="41" t="s">
        <v>10</v>
      </c>
      <c r="AT6" s="41"/>
      <c r="AU6" s="41"/>
      <c r="AV6" s="41"/>
      <c r="AW6" s="41"/>
      <c r="AX6" s="41"/>
      <c r="AY6" s="41"/>
      <c r="AZ6" s="41"/>
      <c r="BA6" s="41"/>
    </row>
    <row r="7" spans="1:53" ht="15" thickTop="1" thickBot="1" x14ac:dyDescent="0.5">
      <c r="A7" t="s">
        <v>11</v>
      </c>
      <c r="B7">
        <v>1</v>
      </c>
      <c r="D7" s="16">
        <v>0</v>
      </c>
      <c r="E7" s="16">
        <v>1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7">
        <v>0</v>
      </c>
      <c r="L7" s="18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7">
        <v>0</v>
      </c>
      <c r="T7" s="18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C7" s="19">
        <f>IFERROR(D7*128+E7*64+F7*32+G7*16+H7*8+I7*4+J7*2+K7*1,"0")</f>
        <v>64</v>
      </c>
      <c r="AD7" s="19">
        <f>IFERROR(L7*128+M7*64+N7*32+O7*16+P7*8+Q7*4+R7*2+S7*1,"0")</f>
        <v>0</v>
      </c>
      <c r="AE7" s="19">
        <f>IFERROR(T7*128+U7*64+V7*32+W7*16+X7*8+Y7*4+Z7*2+AA7*1,"0")</f>
        <v>0</v>
      </c>
      <c r="AG7">
        <f>VLOOKUP(AC7,'Char to Screen Byte Value'!A:C,2,FALSE)</f>
        <v>146</v>
      </c>
      <c r="AH7">
        <f>VLOOKUP(AC7,'Char to Screen Byte Value'!A:C,3,FALSE)</f>
        <v>96</v>
      </c>
      <c r="AI7">
        <f>VLOOKUP(AD7,'Char to Screen Byte Value'!A:C,2,FALSE)</f>
        <v>146</v>
      </c>
      <c r="AJ7">
        <f>VLOOKUP(AD7,'Char to Screen Byte Value'!A:C,3,FALSE)</f>
        <v>64</v>
      </c>
      <c r="AK7">
        <f>VLOOKUP(AE7,'Char to Screen Byte Value'!A:C,2,FALSE)</f>
        <v>146</v>
      </c>
      <c r="AL7">
        <f>VLOOKUP(AE7,'Char to Screen Byte Value'!A:C,3,FALSE)</f>
        <v>64</v>
      </c>
      <c r="AM7" s="21" t="str">
        <f>"{"&amp;AG7&amp;"}{"&amp;AH7&amp;"}{"&amp;AI7&amp;"}{"&amp;AJ7&amp;"}{"&amp;AK7&amp;"}{"&amp;AL7&amp;"}"</f>
        <v>{146}{96}{146}{64}{146}{64}</v>
      </c>
      <c r="AO7" s="35" t="str">
        <f>$AQ$4+B7*10&amp;" data "&amp;AC7&amp;","&amp;AD7&amp;","&amp;AE7</f>
        <v>1010 data 64,0,0</v>
      </c>
      <c r="AP7" s="35"/>
      <c r="AQ7" s="35"/>
      <c r="AS7" s="42" t="s">
        <v>12</v>
      </c>
      <c r="AT7" s="35"/>
      <c r="AU7" s="35"/>
      <c r="AV7" s="35"/>
      <c r="AW7" s="35"/>
      <c r="AX7" s="35"/>
      <c r="AY7" s="35"/>
      <c r="AZ7" s="35"/>
      <c r="BA7" s="35"/>
    </row>
    <row r="8" spans="1:53" ht="15" thickTop="1" thickBot="1" x14ac:dyDescent="0.5">
      <c r="B8">
        <v>2</v>
      </c>
      <c r="D8" s="16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7">
        <v>0</v>
      </c>
      <c r="L8" s="18">
        <v>0</v>
      </c>
      <c r="M8" s="18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7">
        <v>0</v>
      </c>
      <c r="T8" s="18">
        <v>0</v>
      </c>
      <c r="U8" s="18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C8" s="19">
        <f t="shared" ref="AC8:AC27" si="0">IFERROR(D8*128+E8*64+F8*32+G8*16+H8*8+I8*4+J8*2+K8*1,"0")</f>
        <v>0</v>
      </c>
      <c r="AD8" s="19">
        <f t="shared" ref="AD8:AD27" si="1">IFERROR(L8*128+M8*64+N8*32+O8*16+P8*8+Q8*4+R8*2+S8*1,"0")</f>
        <v>0</v>
      </c>
      <c r="AE8" s="19">
        <f t="shared" ref="AE8:AE27" si="2">IFERROR(T8*128+U8*64+V8*32+W8*16+X8*8+Y8*4+Z8*2+AA8*1,"0")</f>
        <v>0</v>
      </c>
      <c r="AG8">
        <f>VLOOKUP(AC8,'Char to Screen Byte Value'!A:C,2,FALSE)</f>
        <v>146</v>
      </c>
      <c r="AH8">
        <f>VLOOKUP(AC8,'Char to Screen Byte Value'!A:C,3,FALSE)</f>
        <v>64</v>
      </c>
      <c r="AI8">
        <f>VLOOKUP(AD8,'Char to Screen Byte Value'!A:C,2,FALSE)</f>
        <v>146</v>
      </c>
      <c r="AJ8">
        <f>VLOOKUP(AD8,'Char to Screen Byte Value'!A:C,3,FALSE)</f>
        <v>64</v>
      </c>
      <c r="AK8">
        <f>VLOOKUP(AE8,'Char to Screen Byte Value'!A:C,2,FALSE)</f>
        <v>146</v>
      </c>
      <c r="AL8">
        <f>VLOOKUP(AE8,'Char to Screen Byte Value'!A:C,3,FALSE)</f>
        <v>64</v>
      </c>
      <c r="AM8" s="21" t="str">
        <f t="shared" ref="AM8:AM27" si="3">"{"&amp;AG8&amp;"}{"&amp;AH8&amp;"}{"&amp;AI8&amp;"}{"&amp;AJ8&amp;"}{"&amp;AK8&amp;"}{"&amp;AL8&amp;"}"</f>
        <v>{146}{64}{146}{64}{146}{64}</v>
      </c>
      <c r="AO8" s="35" t="str">
        <f t="shared" ref="AO8:AO27" si="4">$AQ$4+B8*10&amp;" data "&amp;AC8&amp;","&amp;AD8&amp;","&amp;AE8</f>
        <v>1020 data 0,0,0</v>
      </c>
      <c r="AP8" s="35"/>
      <c r="AQ8" s="35"/>
      <c r="AS8" s="35"/>
      <c r="AT8" s="35"/>
      <c r="AU8" s="35"/>
      <c r="AV8" s="35"/>
      <c r="AW8" s="35"/>
      <c r="AX8" s="35"/>
      <c r="AY8" s="35"/>
      <c r="AZ8" s="35"/>
      <c r="BA8" s="35"/>
    </row>
    <row r="9" spans="1:53" ht="15" thickTop="1" thickBot="1" x14ac:dyDescent="0.5">
      <c r="B9">
        <v>3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1</v>
      </c>
      <c r="J9" s="16">
        <v>1</v>
      </c>
      <c r="K9" s="17">
        <v>0</v>
      </c>
      <c r="L9" s="18">
        <v>0</v>
      </c>
      <c r="M9" s="18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7">
        <v>0</v>
      </c>
      <c r="T9" s="18">
        <v>0</v>
      </c>
      <c r="U9" s="18">
        <v>1</v>
      </c>
      <c r="V9" s="16">
        <v>1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C9" s="19">
        <f t="shared" si="0"/>
        <v>6</v>
      </c>
      <c r="AD9" s="19">
        <f t="shared" si="1"/>
        <v>0</v>
      </c>
      <c r="AE9" s="19">
        <f t="shared" si="2"/>
        <v>96</v>
      </c>
      <c r="AG9">
        <f>VLOOKUP(AC9,'Char to Screen Byte Value'!A:C,2,FALSE)</f>
        <v>146</v>
      </c>
      <c r="AH9">
        <f>VLOOKUP(AC9,'Char to Screen Byte Value'!A:C,3,FALSE)</f>
        <v>70</v>
      </c>
      <c r="AI9">
        <f>VLOOKUP(AD9,'Char to Screen Byte Value'!A:C,2,FALSE)</f>
        <v>146</v>
      </c>
      <c r="AJ9">
        <f>VLOOKUP(AD9,'Char to Screen Byte Value'!A:C,3,FALSE)</f>
        <v>64</v>
      </c>
      <c r="AK9">
        <f>VLOOKUP(AE9,'Char to Screen Byte Value'!A:C,2,FALSE)</f>
        <v>146</v>
      </c>
      <c r="AL9">
        <f>VLOOKUP(AE9,'Char to Screen Byte Value'!A:C,3,FALSE)</f>
        <v>160</v>
      </c>
      <c r="AM9" s="21" t="str">
        <f t="shared" si="3"/>
        <v>{146}{70}{146}{64}{146}{160}</v>
      </c>
      <c r="AO9" s="35" t="str">
        <f t="shared" si="4"/>
        <v>1030 data 6,0,96</v>
      </c>
      <c r="AP9" s="35"/>
      <c r="AQ9" s="35"/>
      <c r="AS9" s="35"/>
      <c r="AT9" s="35"/>
      <c r="AU9" s="35"/>
      <c r="AV9" s="35"/>
      <c r="AW9" s="35"/>
      <c r="AX9" s="35"/>
      <c r="AY9" s="35"/>
      <c r="AZ9" s="35"/>
      <c r="BA9" s="35"/>
    </row>
    <row r="10" spans="1:53" ht="15" thickTop="1" thickBot="1" x14ac:dyDescent="0.5">
      <c r="B10">
        <v>4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1</v>
      </c>
      <c r="J10" s="16">
        <v>1</v>
      </c>
      <c r="K10" s="17">
        <v>0</v>
      </c>
      <c r="L10" s="18">
        <v>0</v>
      </c>
      <c r="M10" s="18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7">
        <v>0</v>
      </c>
      <c r="T10" s="18">
        <v>0</v>
      </c>
      <c r="U10" s="18">
        <v>1</v>
      </c>
      <c r="V10" s="16">
        <v>1</v>
      </c>
      <c r="W10" s="16">
        <v>0</v>
      </c>
      <c r="X10" s="16">
        <v>0</v>
      </c>
      <c r="Y10" s="16">
        <v>0</v>
      </c>
      <c r="Z10" s="16">
        <v>0</v>
      </c>
      <c r="AA10" s="16">
        <v>0</v>
      </c>
      <c r="AC10" s="19">
        <f t="shared" si="0"/>
        <v>6</v>
      </c>
      <c r="AD10" s="19">
        <f t="shared" si="1"/>
        <v>0</v>
      </c>
      <c r="AE10" s="19">
        <f t="shared" si="2"/>
        <v>96</v>
      </c>
      <c r="AG10">
        <f>VLOOKUP(AC10,'Char to Screen Byte Value'!A:C,2,FALSE)</f>
        <v>146</v>
      </c>
      <c r="AH10">
        <f>VLOOKUP(AC10,'Char to Screen Byte Value'!A:C,3,FALSE)</f>
        <v>70</v>
      </c>
      <c r="AI10">
        <f>VLOOKUP(AD10,'Char to Screen Byte Value'!A:C,2,FALSE)</f>
        <v>146</v>
      </c>
      <c r="AJ10">
        <f>VLOOKUP(AD10,'Char to Screen Byte Value'!A:C,3,FALSE)</f>
        <v>64</v>
      </c>
      <c r="AK10">
        <f>VLOOKUP(AE10,'Char to Screen Byte Value'!A:C,2,FALSE)</f>
        <v>146</v>
      </c>
      <c r="AL10">
        <f>VLOOKUP(AE10,'Char to Screen Byte Value'!A:C,3,FALSE)</f>
        <v>160</v>
      </c>
      <c r="AM10" s="21" t="str">
        <f t="shared" si="3"/>
        <v>{146}{70}{146}{64}{146}{160}</v>
      </c>
      <c r="AO10" s="35" t="str">
        <f t="shared" si="4"/>
        <v>1040 data 6,0,96</v>
      </c>
      <c r="AP10" s="35"/>
      <c r="AQ10" s="35"/>
      <c r="AS10" s="35"/>
      <c r="AT10" s="35"/>
      <c r="AU10" s="35"/>
      <c r="AV10" s="35"/>
      <c r="AW10" s="35"/>
      <c r="AX10" s="35"/>
      <c r="AY10" s="35"/>
      <c r="AZ10" s="35"/>
      <c r="BA10" s="35"/>
    </row>
    <row r="11" spans="1:53" ht="15" thickTop="1" thickBot="1" x14ac:dyDescent="0.5">
      <c r="B11">
        <v>5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7">
        <v>1</v>
      </c>
      <c r="L11" s="18">
        <v>1</v>
      </c>
      <c r="M11" s="18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7">
        <v>1</v>
      </c>
      <c r="T11" s="18">
        <v>1</v>
      </c>
      <c r="U11" s="18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C11" s="19">
        <f t="shared" si="0"/>
        <v>1</v>
      </c>
      <c r="AD11" s="19">
        <f t="shared" si="1"/>
        <v>129</v>
      </c>
      <c r="AE11" s="19">
        <f t="shared" si="2"/>
        <v>128</v>
      </c>
      <c r="AG11">
        <f>VLOOKUP(AC11,'Char to Screen Byte Value'!A:C,2,FALSE)</f>
        <v>146</v>
      </c>
      <c r="AH11">
        <f>VLOOKUP(AC11,'Char to Screen Byte Value'!A:C,3,FALSE)</f>
        <v>65</v>
      </c>
      <c r="AI11">
        <f>VLOOKUP(AD11,'Char to Screen Byte Value'!A:C,2,FALSE)</f>
        <v>18</v>
      </c>
      <c r="AJ11">
        <f>VLOOKUP(AD11,'Char to Screen Byte Value'!A:C,3,FALSE)</f>
        <v>65</v>
      </c>
      <c r="AK11">
        <f>VLOOKUP(AE11,'Char to Screen Byte Value'!A:C,2,FALSE)</f>
        <v>18</v>
      </c>
      <c r="AL11">
        <f>VLOOKUP(AE11,'Char to Screen Byte Value'!A:C,3,FALSE)</f>
        <v>64</v>
      </c>
      <c r="AM11" s="21" t="str">
        <f t="shared" si="3"/>
        <v>{146}{65}{18}{65}{18}{64}</v>
      </c>
      <c r="AO11" s="35" t="str">
        <f t="shared" si="4"/>
        <v>1050 data 1,129,128</v>
      </c>
      <c r="AP11" s="35"/>
      <c r="AQ11" s="35"/>
      <c r="AS11" s="35"/>
      <c r="AT11" s="35"/>
      <c r="AU11" s="35"/>
      <c r="AV11" s="35"/>
      <c r="AW11" s="35"/>
      <c r="AX11" s="35"/>
      <c r="AY11" s="35"/>
      <c r="AZ11" s="35"/>
      <c r="BA11" s="35"/>
    </row>
    <row r="12" spans="1:53" ht="15" thickTop="1" thickBot="1" x14ac:dyDescent="0.5">
      <c r="B12">
        <v>6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7">
        <v>1</v>
      </c>
      <c r="L12" s="18">
        <v>1</v>
      </c>
      <c r="M12" s="18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7">
        <v>1</v>
      </c>
      <c r="T12" s="18">
        <v>1</v>
      </c>
      <c r="U12" s="18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C12" s="19">
        <f t="shared" si="0"/>
        <v>1</v>
      </c>
      <c r="AD12" s="19">
        <f t="shared" si="1"/>
        <v>129</v>
      </c>
      <c r="AE12" s="19">
        <f t="shared" si="2"/>
        <v>128</v>
      </c>
      <c r="AG12">
        <f>VLOOKUP(AC12,'Char to Screen Byte Value'!A:C,2,FALSE)</f>
        <v>146</v>
      </c>
      <c r="AH12">
        <f>VLOOKUP(AC12,'Char to Screen Byte Value'!A:C,3,FALSE)</f>
        <v>65</v>
      </c>
      <c r="AI12">
        <f>VLOOKUP(AD12,'Char to Screen Byte Value'!A:C,2,FALSE)</f>
        <v>18</v>
      </c>
      <c r="AJ12">
        <f>VLOOKUP(AD12,'Char to Screen Byte Value'!A:C,3,FALSE)</f>
        <v>65</v>
      </c>
      <c r="AK12">
        <f>VLOOKUP(AE12,'Char to Screen Byte Value'!A:C,2,FALSE)</f>
        <v>18</v>
      </c>
      <c r="AL12">
        <f>VLOOKUP(AE12,'Char to Screen Byte Value'!A:C,3,FALSE)</f>
        <v>64</v>
      </c>
      <c r="AM12" s="21" t="str">
        <f t="shared" si="3"/>
        <v>{146}{65}{18}{65}{18}{64}</v>
      </c>
      <c r="AO12" s="35" t="str">
        <f t="shared" si="4"/>
        <v>1060 data 1,129,128</v>
      </c>
      <c r="AP12" s="35"/>
      <c r="AQ12" s="35"/>
      <c r="AS12" s="35"/>
      <c r="AT12" s="35"/>
      <c r="AU12" s="35"/>
      <c r="AV12" s="35"/>
      <c r="AW12" s="35"/>
      <c r="AX12" s="35"/>
      <c r="AY12" s="35"/>
      <c r="AZ12" s="35"/>
      <c r="BA12" s="35"/>
    </row>
    <row r="13" spans="1:53" ht="15" thickTop="1" thickBot="1" x14ac:dyDescent="0.5">
      <c r="B13">
        <v>7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1</v>
      </c>
      <c r="J13" s="16">
        <v>1</v>
      </c>
      <c r="K13" s="17">
        <v>1</v>
      </c>
      <c r="L13" s="18">
        <v>1</v>
      </c>
      <c r="M13" s="18">
        <v>1</v>
      </c>
      <c r="N13" s="16">
        <v>1</v>
      </c>
      <c r="O13" s="16">
        <v>1</v>
      </c>
      <c r="P13" s="16">
        <v>1</v>
      </c>
      <c r="Q13" s="16">
        <v>1</v>
      </c>
      <c r="R13" s="16">
        <v>1</v>
      </c>
      <c r="S13" s="17">
        <v>1</v>
      </c>
      <c r="T13" s="18">
        <v>1</v>
      </c>
      <c r="U13" s="18">
        <v>1</v>
      </c>
      <c r="V13" s="16">
        <v>1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C13" s="19">
        <f t="shared" si="0"/>
        <v>7</v>
      </c>
      <c r="AD13" s="19">
        <f t="shared" si="1"/>
        <v>255</v>
      </c>
      <c r="AE13" s="19">
        <f t="shared" si="2"/>
        <v>224</v>
      </c>
      <c r="AG13">
        <f>VLOOKUP(AC13,'Char to Screen Byte Value'!A:C,2,FALSE)</f>
        <v>146</v>
      </c>
      <c r="AH13">
        <f>VLOOKUP(AC13,'Char to Screen Byte Value'!A:C,3,FALSE)</f>
        <v>71</v>
      </c>
      <c r="AI13">
        <f>VLOOKUP(AD13,'Char to Screen Byte Value'!A:C,2,FALSE)</f>
        <v>18</v>
      </c>
      <c r="AJ13">
        <f>VLOOKUP(AD13,'Char to Screen Byte Value'!A:C,3,FALSE)</f>
        <v>191</v>
      </c>
      <c r="AK13">
        <f>VLOOKUP(AE13,'Char to Screen Byte Value'!A:C,2,FALSE)</f>
        <v>18</v>
      </c>
      <c r="AL13">
        <f>VLOOKUP(AE13,'Char to Screen Byte Value'!A:C,3,FALSE)</f>
        <v>160</v>
      </c>
      <c r="AM13" s="21" t="str">
        <f t="shared" si="3"/>
        <v>{146}{71}{18}{191}{18}{160}</v>
      </c>
      <c r="AO13" s="35" t="str">
        <f t="shared" si="4"/>
        <v>1070 data 7,255,224</v>
      </c>
      <c r="AP13" s="35"/>
      <c r="AQ13" s="35"/>
      <c r="AS13" s="35"/>
      <c r="AT13" s="35"/>
      <c r="AU13" s="35"/>
      <c r="AV13" s="35"/>
      <c r="AW13" s="35"/>
      <c r="AX13" s="35"/>
      <c r="AY13" s="35"/>
      <c r="AZ13" s="35"/>
      <c r="BA13" s="35"/>
    </row>
    <row r="14" spans="1:53" ht="15" thickTop="1" thickBot="1" x14ac:dyDescent="0.5">
      <c r="B14">
        <v>8</v>
      </c>
      <c r="D14" s="16">
        <v>0</v>
      </c>
      <c r="E14" s="16">
        <v>0</v>
      </c>
      <c r="F14" s="16">
        <v>0</v>
      </c>
      <c r="G14" s="16">
        <v>1</v>
      </c>
      <c r="H14" s="16">
        <v>1</v>
      </c>
      <c r="I14" s="16">
        <v>1</v>
      </c>
      <c r="J14" s="16">
        <v>1</v>
      </c>
      <c r="K14" s="17">
        <v>1</v>
      </c>
      <c r="L14" s="18">
        <v>1</v>
      </c>
      <c r="M14" s="18">
        <v>1</v>
      </c>
      <c r="N14" s="16">
        <v>1</v>
      </c>
      <c r="O14" s="16">
        <v>1</v>
      </c>
      <c r="P14" s="16">
        <v>1</v>
      </c>
      <c r="Q14" s="16">
        <v>1</v>
      </c>
      <c r="R14" s="16">
        <v>1</v>
      </c>
      <c r="S14" s="17">
        <v>1</v>
      </c>
      <c r="T14" s="18">
        <v>1</v>
      </c>
      <c r="U14" s="18">
        <v>1</v>
      </c>
      <c r="V14" s="16">
        <v>1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C14" s="19">
        <f t="shared" si="0"/>
        <v>31</v>
      </c>
      <c r="AD14" s="19">
        <f t="shared" si="1"/>
        <v>255</v>
      </c>
      <c r="AE14" s="19">
        <f t="shared" si="2"/>
        <v>224</v>
      </c>
      <c r="AG14">
        <f>VLOOKUP(AC14,'Char to Screen Byte Value'!A:C,2,FALSE)</f>
        <v>146</v>
      </c>
      <c r="AH14">
        <f>VLOOKUP(AC14,'Char to Screen Byte Value'!A:C,3,FALSE)</f>
        <v>95</v>
      </c>
      <c r="AI14">
        <f>VLOOKUP(AD14,'Char to Screen Byte Value'!A:C,2,FALSE)</f>
        <v>18</v>
      </c>
      <c r="AJ14">
        <f>VLOOKUP(AD14,'Char to Screen Byte Value'!A:C,3,FALSE)</f>
        <v>191</v>
      </c>
      <c r="AK14">
        <f>VLOOKUP(AE14,'Char to Screen Byte Value'!A:C,2,FALSE)</f>
        <v>18</v>
      </c>
      <c r="AL14">
        <f>VLOOKUP(AE14,'Char to Screen Byte Value'!A:C,3,FALSE)</f>
        <v>160</v>
      </c>
      <c r="AM14" s="21" t="str">
        <f t="shared" si="3"/>
        <v>{146}{95}{18}{191}{18}{160}</v>
      </c>
      <c r="AO14" s="35" t="str">
        <f t="shared" si="4"/>
        <v>1080 data 31,255,224</v>
      </c>
      <c r="AP14" s="35"/>
      <c r="AQ14" s="35"/>
      <c r="AS14" s="35"/>
      <c r="AT14" s="35"/>
      <c r="AU14" s="35"/>
      <c r="AV14" s="35"/>
      <c r="AW14" s="35"/>
      <c r="AX14" s="35"/>
      <c r="AY14" s="35"/>
      <c r="AZ14" s="35"/>
      <c r="BA14" s="35"/>
    </row>
    <row r="15" spans="1:53" ht="15" thickTop="1" thickBot="1" x14ac:dyDescent="0.5">
      <c r="B15">
        <v>9</v>
      </c>
      <c r="D15" s="16">
        <v>0</v>
      </c>
      <c r="E15" s="16">
        <v>0</v>
      </c>
      <c r="F15" s="16">
        <v>0</v>
      </c>
      <c r="G15" s="16">
        <v>1</v>
      </c>
      <c r="H15" s="16">
        <v>1</v>
      </c>
      <c r="I15" s="16">
        <v>1</v>
      </c>
      <c r="J15" s="16">
        <v>0</v>
      </c>
      <c r="K15" s="17">
        <v>0</v>
      </c>
      <c r="L15" s="18">
        <v>1</v>
      </c>
      <c r="M15" s="18">
        <v>1</v>
      </c>
      <c r="N15" s="16">
        <v>1</v>
      </c>
      <c r="O15" s="16">
        <v>1</v>
      </c>
      <c r="P15" s="16">
        <v>1</v>
      </c>
      <c r="Q15" s="16">
        <v>1</v>
      </c>
      <c r="R15" s="16">
        <v>1</v>
      </c>
      <c r="S15" s="17">
        <v>0</v>
      </c>
      <c r="T15" s="18">
        <v>0</v>
      </c>
      <c r="U15" s="18">
        <v>1</v>
      </c>
      <c r="V15" s="16">
        <v>1</v>
      </c>
      <c r="W15" s="16">
        <v>1</v>
      </c>
      <c r="X15" s="16">
        <v>1</v>
      </c>
      <c r="Y15" s="16">
        <v>0</v>
      </c>
      <c r="Z15" s="16">
        <v>0</v>
      </c>
      <c r="AA15" s="16">
        <v>0</v>
      </c>
      <c r="AC15" s="19">
        <f t="shared" si="0"/>
        <v>28</v>
      </c>
      <c r="AD15" s="19">
        <f t="shared" si="1"/>
        <v>254</v>
      </c>
      <c r="AE15" s="19">
        <f t="shared" si="2"/>
        <v>120</v>
      </c>
      <c r="AG15">
        <f>VLOOKUP(AC15,'Char to Screen Byte Value'!A:C,2,FALSE)</f>
        <v>146</v>
      </c>
      <c r="AH15">
        <f>VLOOKUP(AC15,'Char to Screen Byte Value'!A:C,3,FALSE)</f>
        <v>92</v>
      </c>
      <c r="AI15">
        <f>VLOOKUP(AD15,'Char to Screen Byte Value'!A:C,2,FALSE)</f>
        <v>18</v>
      </c>
      <c r="AJ15">
        <f>VLOOKUP(AD15,'Char to Screen Byte Value'!A:C,3,FALSE)</f>
        <v>190</v>
      </c>
      <c r="AK15">
        <f>VLOOKUP(AE15,'Char to Screen Byte Value'!A:C,2,FALSE)</f>
        <v>146</v>
      </c>
      <c r="AL15">
        <f>VLOOKUP(AE15,'Char to Screen Byte Value'!A:C,3,FALSE)</f>
        <v>184</v>
      </c>
      <c r="AM15" s="21" t="str">
        <f t="shared" si="3"/>
        <v>{146}{92}{18}{190}{146}{184}</v>
      </c>
      <c r="AO15" s="35" t="str">
        <f t="shared" si="4"/>
        <v>1090 data 28,254,120</v>
      </c>
      <c r="AP15" s="35"/>
      <c r="AQ15" s="35"/>
      <c r="AS15" s="35"/>
      <c r="AT15" s="35"/>
      <c r="AU15" s="35"/>
      <c r="AV15" s="35"/>
      <c r="AW15" s="35"/>
      <c r="AX15" s="35"/>
      <c r="AY15" s="35"/>
      <c r="AZ15" s="35"/>
      <c r="BA15" s="35"/>
    </row>
    <row r="16" spans="1:53" ht="15" thickTop="1" thickBot="1" x14ac:dyDescent="0.5">
      <c r="B16">
        <v>10</v>
      </c>
      <c r="D16" s="16">
        <v>0</v>
      </c>
      <c r="E16" s="16">
        <v>0</v>
      </c>
      <c r="F16" s="16">
        <v>0</v>
      </c>
      <c r="G16" s="16">
        <v>1</v>
      </c>
      <c r="H16" s="16">
        <v>1</v>
      </c>
      <c r="I16" s="16">
        <v>1</v>
      </c>
      <c r="J16" s="16">
        <v>0</v>
      </c>
      <c r="K16" s="17">
        <v>0</v>
      </c>
      <c r="L16" s="18">
        <v>1</v>
      </c>
      <c r="M16" s="18">
        <v>1</v>
      </c>
      <c r="N16" s="16">
        <v>1</v>
      </c>
      <c r="O16" s="16">
        <v>1</v>
      </c>
      <c r="P16" s="16">
        <v>1</v>
      </c>
      <c r="Q16" s="16">
        <v>1</v>
      </c>
      <c r="R16" s="16">
        <v>1</v>
      </c>
      <c r="S16" s="17">
        <v>0</v>
      </c>
      <c r="T16" s="18">
        <v>0</v>
      </c>
      <c r="U16" s="18">
        <v>1</v>
      </c>
      <c r="V16" s="16">
        <v>1</v>
      </c>
      <c r="W16" s="16">
        <v>1</v>
      </c>
      <c r="X16" s="16">
        <v>1</v>
      </c>
      <c r="Y16" s="16">
        <v>0</v>
      </c>
      <c r="Z16" s="16">
        <v>0</v>
      </c>
      <c r="AA16" s="16">
        <v>0</v>
      </c>
      <c r="AC16" s="19">
        <f t="shared" si="0"/>
        <v>28</v>
      </c>
      <c r="AD16" s="19">
        <f t="shared" si="1"/>
        <v>254</v>
      </c>
      <c r="AE16" s="19">
        <f t="shared" si="2"/>
        <v>120</v>
      </c>
      <c r="AG16">
        <f>VLOOKUP(AC16,'Char to Screen Byte Value'!A:C,2,FALSE)</f>
        <v>146</v>
      </c>
      <c r="AH16">
        <f>VLOOKUP(AC16,'Char to Screen Byte Value'!A:C,3,FALSE)</f>
        <v>92</v>
      </c>
      <c r="AI16">
        <f>VLOOKUP(AD16,'Char to Screen Byte Value'!A:C,2,FALSE)</f>
        <v>18</v>
      </c>
      <c r="AJ16">
        <f>VLOOKUP(AD16,'Char to Screen Byte Value'!A:C,3,FALSE)</f>
        <v>190</v>
      </c>
      <c r="AK16">
        <f>VLOOKUP(AE16,'Char to Screen Byte Value'!A:C,2,FALSE)</f>
        <v>146</v>
      </c>
      <c r="AL16">
        <f>VLOOKUP(AE16,'Char to Screen Byte Value'!A:C,3,FALSE)</f>
        <v>184</v>
      </c>
      <c r="AM16" s="21" t="str">
        <f t="shared" si="3"/>
        <v>{146}{92}{18}{190}{146}{184}</v>
      </c>
      <c r="AO16" s="35" t="str">
        <f t="shared" si="4"/>
        <v>1100 data 28,254,120</v>
      </c>
      <c r="AP16" s="35"/>
      <c r="AQ16" s="35"/>
      <c r="AS16" s="35"/>
      <c r="AT16" s="35"/>
      <c r="AU16" s="35"/>
      <c r="AV16" s="35"/>
      <c r="AW16" s="35"/>
      <c r="AX16" s="35"/>
      <c r="AY16" s="35"/>
      <c r="AZ16" s="35"/>
      <c r="BA16" s="35"/>
    </row>
    <row r="17" spans="2:53" ht="15" thickTop="1" thickBot="1" x14ac:dyDescent="0.5">
      <c r="B17">
        <v>11</v>
      </c>
      <c r="D17" s="16">
        <v>0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7">
        <v>1</v>
      </c>
      <c r="L17" s="18">
        <v>1</v>
      </c>
      <c r="M17" s="18">
        <v>1</v>
      </c>
      <c r="N17" s="16">
        <v>1</v>
      </c>
      <c r="O17" s="16">
        <v>1</v>
      </c>
      <c r="P17" s="16">
        <v>1</v>
      </c>
      <c r="Q17" s="16">
        <v>1</v>
      </c>
      <c r="R17" s="16">
        <v>1</v>
      </c>
      <c r="S17" s="17">
        <v>1</v>
      </c>
      <c r="T17" s="18">
        <v>1</v>
      </c>
      <c r="U17" s="18">
        <v>1</v>
      </c>
      <c r="V17" s="16">
        <v>1</v>
      </c>
      <c r="W17" s="16">
        <v>1</v>
      </c>
      <c r="X17" s="16">
        <v>1</v>
      </c>
      <c r="Y17" s="16">
        <v>1</v>
      </c>
      <c r="Z17" s="16">
        <v>1</v>
      </c>
      <c r="AA17" s="16">
        <v>0</v>
      </c>
      <c r="AC17" s="19">
        <f t="shared" si="0"/>
        <v>127</v>
      </c>
      <c r="AD17" s="19">
        <f t="shared" si="1"/>
        <v>255</v>
      </c>
      <c r="AE17" s="19">
        <f t="shared" si="2"/>
        <v>254</v>
      </c>
      <c r="AG17">
        <f>VLOOKUP(AC17,'Char to Screen Byte Value'!A:C,2,FALSE)</f>
        <v>146</v>
      </c>
      <c r="AH17">
        <f>VLOOKUP(AC17,'Char to Screen Byte Value'!A:C,3,FALSE)</f>
        <v>191</v>
      </c>
      <c r="AI17">
        <f>VLOOKUP(AD17,'Char to Screen Byte Value'!A:C,2,FALSE)</f>
        <v>18</v>
      </c>
      <c r="AJ17">
        <f>VLOOKUP(AD17,'Char to Screen Byte Value'!A:C,3,FALSE)</f>
        <v>191</v>
      </c>
      <c r="AK17">
        <f>VLOOKUP(AE17,'Char to Screen Byte Value'!A:C,2,FALSE)</f>
        <v>18</v>
      </c>
      <c r="AL17">
        <f>VLOOKUP(AE17,'Char to Screen Byte Value'!A:C,3,FALSE)</f>
        <v>190</v>
      </c>
      <c r="AM17" s="21" t="str">
        <f t="shared" si="3"/>
        <v>{146}{191}{18}{191}{18}{190}</v>
      </c>
      <c r="AO17" s="35" t="str">
        <f t="shared" si="4"/>
        <v>1110 data 127,255,254</v>
      </c>
      <c r="AP17" s="35"/>
      <c r="AQ17" s="35"/>
      <c r="AS17" s="35"/>
      <c r="AT17" s="35"/>
      <c r="AU17" s="35"/>
      <c r="AV17" s="35"/>
      <c r="AW17" s="35"/>
      <c r="AX17" s="35"/>
      <c r="AY17" s="35"/>
      <c r="AZ17" s="35"/>
      <c r="BA17" s="35"/>
    </row>
    <row r="18" spans="2:53" ht="15" thickTop="1" thickBot="1" x14ac:dyDescent="0.5">
      <c r="B18">
        <v>12</v>
      </c>
      <c r="D18" s="16">
        <v>0</v>
      </c>
      <c r="E18" s="16">
        <v>1</v>
      </c>
      <c r="F18" s="16">
        <v>1</v>
      </c>
      <c r="G18" s="16">
        <v>1</v>
      </c>
      <c r="H18" s="16">
        <v>1</v>
      </c>
      <c r="I18" s="16">
        <v>1</v>
      </c>
      <c r="J18" s="16">
        <v>1</v>
      </c>
      <c r="K18" s="17">
        <v>1</v>
      </c>
      <c r="L18" s="18">
        <v>1</v>
      </c>
      <c r="M18" s="18">
        <v>1</v>
      </c>
      <c r="N18" s="16">
        <v>1</v>
      </c>
      <c r="O18" s="16">
        <v>1</v>
      </c>
      <c r="P18" s="16">
        <v>1</v>
      </c>
      <c r="Q18" s="16">
        <v>1</v>
      </c>
      <c r="R18" s="16">
        <v>1</v>
      </c>
      <c r="S18" s="17">
        <v>1</v>
      </c>
      <c r="T18" s="18">
        <v>1</v>
      </c>
      <c r="U18" s="18">
        <v>1</v>
      </c>
      <c r="V18" s="16">
        <v>1</v>
      </c>
      <c r="W18" s="16">
        <v>1</v>
      </c>
      <c r="X18" s="16">
        <v>1</v>
      </c>
      <c r="Y18" s="16">
        <v>1</v>
      </c>
      <c r="Z18" s="16">
        <v>1</v>
      </c>
      <c r="AA18" s="16">
        <v>0</v>
      </c>
      <c r="AC18" s="34">
        <f t="shared" si="0"/>
        <v>127</v>
      </c>
      <c r="AD18" s="19">
        <f t="shared" si="1"/>
        <v>255</v>
      </c>
      <c r="AE18" s="19">
        <f t="shared" si="2"/>
        <v>254</v>
      </c>
      <c r="AG18">
        <f>VLOOKUP(AC18,'Char to Screen Byte Value'!A:C,2,FALSE)</f>
        <v>146</v>
      </c>
      <c r="AH18">
        <f>VLOOKUP(AC18,'Char to Screen Byte Value'!A:C,3,FALSE)</f>
        <v>191</v>
      </c>
      <c r="AI18">
        <f>VLOOKUP(AD18,'Char to Screen Byte Value'!A:C,2,FALSE)</f>
        <v>18</v>
      </c>
      <c r="AJ18">
        <f>VLOOKUP(AD18,'Char to Screen Byte Value'!A:C,3,FALSE)</f>
        <v>191</v>
      </c>
      <c r="AK18">
        <f>VLOOKUP(AE18,'Char to Screen Byte Value'!A:C,2,FALSE)</f>
        <v>18</v>
      </c>
      <c r="AL18">
        <f>VLOOKUP(AE18,'Char to Screen Byte Value'!A:C,3,FALSE)</f>
        <v>190</v>
      </c>
      <c r="AM18" s="21" t="str">
        <f t="shared" si="3"/>
        <v>{146}{191}{18}{191}{18}{190}</v>
      </c>
      <c r="AO18" s="35" t="str">
        <f t="shared" si="4"/>
        <v>1120 data 127,255,254</v>
      </c>
      <c r="AP18" s="35"/>
      <c r="AQ18" s="35"/>
      <c r="AS18" s="35"/>
      <c r="AT18" s="35"/>
      <c r="AU18" s="35"/>
      <c r="AV18" s="35"/>
      <c r="AW18" s="35"/>
      <c r="AX18" s="35"/>
      <c r="AY18" s="35"/>
      <c r="AZ18" s="35"/>
      <c r="BA18" s="35"/>
    </row>
    <row r="19" spans="2:53" ht="15" thickTop="1" thickBot="1" x14ac:dyDescent="0.5">
      <c r="B19">
        <v>13</v>
      </c>
      <c r="D19" s="16">
        <v>0</v>
      </c>
      <c r="E19" s="16">
        <v>1</v>
      </c>
      <c r="F19" s="16">
        <v>1</v>
      </c>
      <c r="G19" s="16">
        <v>0</v>
      </c>
      <c r="H19" s="16">
        <v>0</v>
      </c>
      <c r="I19" s="16">
        <v>1</v>
      </c>
      <c r="J19" s="16">
        <v>1</v>
      </c>
      <c r="K19" s="17">
        <v>1</v>
      </c>
      <c r="L19" s="18">
        <v>1</v>
      </c>
      <c r="M19" s="18">
        <v>1</v>
      </c>
      <c r="N19" s="16">
        <v>1</v>
      </c>
      <c r="O19" s="16">
        <v>1</v>
      </c>
      <c r="P19" s="16">
        <v>1</v>
      </c>
      <c r="Q19" s="16">
        <v>1</v>
      </c>
      <c r="R19" s="16">
        <v>1</v>
      </c>
      <c r="S19" s="17">
        <v>1</v>
      </c>
      <c r="T19" s="18">
        <v>1</v>
      </c>
      <c r="U19" s="18">
        <v>1</v>
      </c>
      <c r="V19" s="16">
        <v>1</v>
      </c>
      <c r="W19" s="16">
        <v>1</v>
      </c>
      <c r="X19" s="16">
        <v>1</v>
      </c>
      <c r="Y19" s="16">
        <v>1</v>
      </c>
      <c r="Z19" s="16">
        <v>1</v>
      </c>
      <c r="AA19" s="16">
        <v>0</v>
      </c>
      <c r="AC19" s="19">
        <f t="shared" si="0"/>
        <v>103</v>
      </c>
      <c r="AD19" s="19">
        <f t="shared" si="1"/>
        <v>255</v>
      </c>
      <c r="AE19" s="19">
        <f t="shared" si="2"/>
        <v>254</v>
      </c>
      <c r="AG19">
        <f>VLOOKUP(AC19,'Char to Screen Byte Value'!A:C,2,FALSE)</f>
        <v>146</v>
      </c>
      <c r="AH19">
        <f>VLOOKUP(AC19,'Char to Screen Byte Value'!A:C,3,FALSE)</f>
        <v>167</v>
      </c>
      <c r="AI19">
        <f>VLOOKUP(AD19,'Char to Screen Byte Value'!A:C,2,FALSE)</f>
        <v>18</v>
      </c>
      <c r="AJ19">
        <f>VLOOKUP(AD19,'Char to Screen Byte Value'!A:C,3,FALSE)</f>
        <v>191</v>
      </c>
      <c r="AK19">
        <f>VLOOKUP(AE19,'Char to Screen Byte Value'!A:C,2,FALSE)</f>
        <v>18</v>
      </c>
      <c r="AL19">
        <f>VLOOKUP(AE19,'Char to Screen Byte Value'!A:C,3,FALSE)</f>
        <v>190</v>
      </c>
      <c r="AM19" s="21" t="str">
        <f t="shared" si="3"/>
        <v>{146}{167}{18}{191}{18}{190}</v>
      </c>
      <c r="AO19" s="35" t="str">
        <f t="shared" si="4"/>
        <v>1130 data 103,255,254</v>
      </c>
      <c r="AP19" s="35"/>
      <c r="AQ19" s="35"/>
      <c r="AS19" s="35"/>
      <c r="AT19" s="35"/>
      <c r="AU19" s="35"/>
      <c r="AV19" s="35"/>
      <c r="AW19" s="35"/>
      <c r="AX19" s="35"/>
      <c r="AY19" s="35"/>
      <c r="AZ19" s="35"/>
      <c r="BA19" s="35"/>
    </row>
    <row r="20" spans="2:53" ht="15" thickTop="1" thickBot="1" x14ac:dyDescent="0.5">
      <c r="B20">
        <v>14</v>
      </c>
      <c r="D20" s="16">
        <v>0</v>
      </c>
      <c r="E20" s="16">
        <v>1</v>
      </c>
      <c r="F20" s="16">
        <v>1</v>
      </c>
      <c r="G20" s="16">
        <v>0</v>
      </c>
      <c r="H20" s="16">
        <v>0</v>
      </c>
      <c r="I20" s="16">
        <v>1</v>
      </c>
      <c r="J20" s="16">
        <v>1</v>
      </c>
      <c r="K20" s="17">
        <v>0</v>
      </c>
      <c r="L20" s="18">
        <v>0</v>
      </c>
      <c r="M20" s="18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7">
        <v>0</v>
      </c>
      <c r="T20" s="18">
        <v>0</v>
      </c>
      <c r="U20" s="18">
        <v>1</v>
      </c>
      <c r="V20" s="16">
        <v>1</v>
      </c>
      <c r="W20" s="16">
        <v>0</v>
      </c>
      <c r="X20" s="16">
        <v>0</v>
      </c>
      <c r="Y20" s="16">
        <v>1</v>
      </c>
      <c r="Z20" s="16">
        <v>1</v>
      </c>
      <c r="AA20" s="16">
        <v>0</v>
      </c>
      <c r="AC20" s="19">
        <f t="shared" si="0"/>
        <v>102</v>
      </c>
      <c r="AD20" s="19">
        <f t="shared" si="1"/>
        <v>0</v>
      </c>
      <c r="AE20" s="19">
        <f t="shared" si="2"/>
        <v>102</v>
      </c>
      <c r="AG20">
        <f>VLOOKUP(AC20,'Char to Screen Byte Value'!A:C,2,FALSE)</f>
        <v>146</v>
      </c>
      <c r="AH20">
        <f>VLOOKUP(AC20,'Char to Screen Byte Value'!A:C,3,FALSE)</f>
        <v>166</v>
      </c>
      <c r="AI20">
        <f>VLOOKUP(AD20,'Char to Screen Byte Value'!A:C,2,FALSE)</f>
        <v>146</v>
      </c>
      <c r="AJ20">
        <f>VLOOKUP(AD20,'Char to Screen Byte Value'!A:C,3,FALSE)</f>
        <v>64</v>
      </c>
      <c r="AK20">
        <f>VLOOKUP(AE20,'Char to Screen Byte Value'!A:C,2,FALSE)</f>
        <v>146</v>
      </c>
      <c r="AL20">
        <f>VLOOKUP(AE20,'Char to Screen Byte Value'!A:C,3,FALSE)</f>
        <v>166</v>
      </c>
      <c r="AM20" s="21" t="str">
        <f t="shared" si="3"/>
        <v>{146}{166}{146}{64}{146}{166}</v>
      </c>
      <c r="AO20" s="35" t="str">
        <f t="shared" si="4"/>
        <v>1140 data 102,0,102</v>
      </c>
      <c r="AP20" s="35"/>
      <c r="AQ20" s="35"/>
      <c r="AS20" s="35"/>
      <c r="AT20" s="35"/>
      <c r="AU20" s="35"/>
      <c r="AV20" s="35"/>
      <c r="AW20" s="35"/>
      <c r="AX20" s="35"/>
      <c r="AY20" s="35"/>
      <c r="AZ20" s="35"/>
      <c r="BA20" s="35"/>
    </row>
    <row r="21" spans="2:53" ht="15" thickTop="1" thickBot="1" x14ac:dyDescent="0.5">
      <c r="B21">
        <v>15</v>
      </c>
      <c r="D21" s="16">
        <v>0</v>
      </c>
      <c r="E21" s="16">
        <v>1</v>
      </c>
      <c r="F21" s="16">
        <v>1</v>
      </c>
      <c r="G21" s="16">
        <v>0</v>
      </c>
      <c r="H21" s="16">
        <v>0</v>
      </c>
      <c r="I21" s="16">
        <v>1</v>
      </c>
      <c r="J21" s="16">
        <v>1</v>
      </c>
      <c r="K21" s="17">
        <v>0</v>
      </c>
      <c r="L21" s="18">
        <v>0</v>
      </c>
      <c r="M21" s="18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7">
        <v>0</v>
      </c>
      <c r="T21" s="18">
        <v>0</v>
      </c>
      <c r="U21" s="18">
        <v>1</v>
      </c>
      <c r="V21" s="16">
        <v>1</v>
      </c>
      <c r="W21" s="16">
        <v>0</v>
      </c>
      <c r="X21" s="16">
        <v>0</v>
      </c>
      <c r="Y21" s="16">
        <v>1</v>
      </c>
      <c r="Z21" s="16">
        <v>1</v>
      </c>
      <c r="AA21" s="16">
        <v>0</v>
      </c>
      <c r="AC21" s="19">
        <f t="shared" si="0"/>
        <v>102</v>
      </c>
      <c r="AD21" s="19">
        <f t="shared" si="1"/>
        <v>0</v>
      </c>
      <c r="AE21" s="19">
        <f t="shared" si="2"/>
        <v>102</v>
      </c>
      <c r="AG21">
        <f>VLOOKUP(AC21,'Char to Screen Byte Value'!A:C,2,FALSE)</f>
        <v>146</v>
      </c>
      <c r="AH21">
        <f>VLOOKUP(AC21,'Char to Screen Byte Value'!A:C,3,FALSE)</f>
        <v>166</v>
      </c>
      <c r="AI21">
        <f>VLOOKUP(AD21,'Char to Screen Byte Value'!A:C,2,FALSE)</f>
        <v>146</v>
      </c>
      <c r="AJ21">
        <f>VLOOKUP(AD21,'Char to Screen Byte Value'!A:C,3,FALSE)</f>
        <v>64</v>
      </c>
      <c r="AK21">
        <f>VLOOKUP(AE21,'Char to Screen Byte Value'!A:C,2,FALSE)</f>
        <v>146</v>
      </c>
      <c r="AL21">
        <f>VLOOKUP(AE21,'Char to Screen Byte Value'!A:C,3,FALSE)</f>
        <v>166</v>
      </c>
      <c r="AM21" s="21" t="str">
        <f t="shared" si="3"/>
        <v>{146}{166}{146}{64}{146}{166}</v>
      </c>
      <c r="AO21" s="35" t="str">
        <f t="shared" si="4"/>
        <v>1150 data 102,0,102</v>
      </c>
      <c r="AP21" s="35"/>
      <c r="AQ21" s="35"/>
      <c r="AS21" s="35"/>
      <c r="AT21" s="35"/>
      <c r="AU21" s="35"/>
      <c r="AV21" s="35"/>
      <c r="AW21" s="35"/>
      <c r="AX21" s="35"/>
      <c r="AY21" s="35"/>
      <c r="AZ21" s="35"/>
      <c r="BA21" s="35"/>
    </row>
    <row r="22" spans="2:53" ht="15" thickTop="1" thickBot="1" x14ac:dyDescent="0.5">
      <c r="B22">
        <v>16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7">
        <v>1</v>
      </c>
      <c r="L22" s="18">
        <v>1</v>
      </c>
      <c r="M22" s="18">
        <v>1</v>
      </c>
      <c r="N22" s="16">
        <v>1</v>
      </c>
      <c r="O22" s="16">
        <v>0</v>
      </c>
      <c r="P22" s="16">
        <v>0</v>
      </c>
      <c r="Q22" s="16">
        <v>1</v>
      </c>
      <c r="R22" s="16">
        <v>1</v>
      </c>
      <c r="S22" s="17">
        <v>1</v>
      </c>
      <c r="T22" s="18">
        <v>1</v>
      </c>
      <c r="U22" s="18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C22" s="19">
        <f t="shared" si="0"/>
        <v>1</v>
      </c>
      <c r="AD22" s="19">
        <f t="shared" si="1"/>
        <v>231</v>
      </c>
      <c r="AE22" s="19">
        <f t="shared" si="2"/>
        <v>128</v>
      </c>
      <c r="AG22">
        <f>VLOOKUP(AC22,'Char to Screen Byte Value'!A:C,2,FALSE)</f>
        <v>146</v>
      </c>
      <c r="AH22">
        <f>VLOOKUP(AC22,'Char to Screen Byte Value'!A:C,3,FALSE)</f>
        <v>65</v>
      </c>
      <c r="AI22">
        <f>VLOOKUP(AD22,'Char to Screen Byte Value'!A:C,2,FALSE)</f>
        <v>18</v>
      </c>
      <c r="AJ22">
        <f>VLOOKUP(AD22,'Char to Screen Byte Value'!A:C,3,FALSE)</f>
        <v>167</v>
      </c>
      <c r="AK22">
        <f>VLOOKUP(AE22,'Char to Screen Byte Value'!A:C,2,FALSE)</f>
        <v>18</v>
      </c>
      <c r="AL22">
        <f>VLOOKUP(AE22,'Char to Screen Byte Value'!A:C,3,FALSE)</f>
        <v>64</v>
      </c>
      <c r="AM22" s="21" t="str">
        <f t="shared" si="3"/>
        <v>{146}{65}{18}{167}{18}{64}</v>
      </c>
      <c r="AO22" s="35" t="str">
        <f t="shared" si="4"/>
        <v>1160 data 1,231,128</v>
      </c>
      <c r="AP22" s="35"/>
      <c r="AQ22" s="35"/>
      <c r="AS22" s="35"/>
      <c r="AT22" s="35"/>
      <c r="AU22" s="35"/>
      <c r="AV22" s="35"/>
      <c r="AW22" s="35"/>
      <c r="AX22" s="35"/>
      <c r="AY22" s="35"/>
      <c r="AZ22" s="35"/>
      <c r="BA22" s="35"/>
    </row>
    <row r="23" spans="2:53" ht="15" thickTop="1" thickBot="1" x14ac:dyDescent="0.5">
      <c r="B23">
        <v>17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7">
        <v>1</v>
      </c>
      <c r="L23" s="18">
        <v>1</v>
      </c>
      <c r="M23" s="18">
        <v>1</v>
      </c>
      <c r="N23" s="16">
        <v>1</v>
      </c>
      <c r="O23" s="16">
        <v>0</v>
      </c>
      <c r="P23" s="16">
        <v>0</v>
      </c>
      <c r="Q23" s="16">
        <v>1</v>
      </c>
      <c r="R23" s="16">
        <v>1</v>
      </c>
      <c r="S23" s="17">
        <v>1</v>
      </c>
      <c r="T23" s="18">
        <v>1</v>
      </c>
      <c r="U23" s="18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C23" s="19">
        <f t="shared" si="0"/>
        <v>1</v>
      </c>
      <c r="AD23" s="19">
        <f t="shared" si="1"/>
        <v>231</v>
      </c>
      <c r="AE23" s="19">
        <f t="shared" si="2"/>
        <v>128</v>
      </c>
      <c r="AG23">
        <f>VLOOKUP(AC23,'Char to Screen Byte Value'!A:C,2,FALSE)</f>
        <v>146</v>
      </c>
      <c r="AH23">
        <f>VLOOKUP(AC23,'Char to Screen Byte Value'!A:C,3,FALSE)</f>
        <v>65</v>
      </c>
      <c r="AI23">
        <f>VLOOKUP(AD23,'Char to Screen Byte Value'!A:C,2,FALSE)</f>
        <v>18</v>
      </c>
      <c r="AJ23">
        <f>VLOOKUP(AD23,'Char to Screen Byte Value'!A:C,3,FALSE)</f>
        <v>167</v>
      </c>
      <c r="AK23">
        <f>VLOOKUP(AE23,'Char to Screen Byte Value'!A:C,2,FALSE)</f>
        <v>18</v>
      </c>
      <c r="AL23">
        <f>VLOOKUP(AE23,'Char to Screen Byte Value'!A:C,3,FALSE)</f>
        <v>64</v>
      </c>
      <c r="AM23" s="21" t="str">
        <f t="shared" si="3"/>
        <v>{146}{65}{18}{167}{18}{64}</v>
      </c>
      <c r="AO23" s="35" t="str">
        <f t="shared" si="4"/>
        <v>1170 data 1,231,128</v>
      </c>
      <c r="AP23" s="35"/>
      <c r="AQ23" s="35"/>
      <c r="AS23" s="35"/>
      <c r="AT23" s="35"/>
      <c r="AU23" s="35"/>
      <c r="AV23" s="35"/>
      <c r="AW23" s="35"/>
      <c r="AX23" s="35"/>
      <c r="AY23" s="35"/>
      <c r="AZ23" s="35"/>
      <c r="BA23" s="35"/>
    </row>
    <row r="24" spans="2:53" ht="15" thickTop="1" thickBot="1" x14ac:dyDescent="0.5">
      <c r="B24">
        <v>18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7">
        <v>0</v>
      </c>
      <c r="L24" s="18">
        <v>0</v>
      </c>
      <c r="M24" s="18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7">
        <v>0</v>
      </c>
      <c r="T24" s="18">
        <v>0</v>
      </c>
      <c r="U24" s="18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C24" s="19">
        <f t="shared" si="0"/>
        <v>0</v>
      </c>
      <c r="AD24" s="19">
        <f t="shared" si="1"/>
        <v>0</v>
      </c>
      <c r="AE24" s="19">
        <f t="shared" si="2"/>
        <v>0</v>
      </c>
      <c r="AG24">
        <f>VLOOKUP(AC24,'Char to Screen Byte Value'!A:C,2,FALSE)</f>
        <v>146</v>
      </c>
      <c r="AH24">
        <f>VLOOKUP(AC24,'Char to Screen Byte Value'!A:C,3,FALSE)</f>
        <v>64</v>
      </c>
      <c r="AI24">
        <f>VLOOKUP(AD24,'Char to Screen Byte Value'!A:C,2,FALSE)</f>
        <v>146</v>
      </c>
      <c r="AJ24">
        <f>VLOOKUP(AD24,'Char to Screen Byte Value'!A:C,3,FALSE)</f>
        <v>64</v>
      </c>
      <c r="AK24">
        <f>VLOOKUP(AE24,'Char to Screen Byte Value'!A:C,2,FALSE)</f>
        <v>146</v>
      </c>
      <c r="AL24">
        <f>VLOOKUP(AE24,'Char to Screen Byte Value'!A:C,3,FALSE)</f>
        <v>64</v>
      </c>
      <c r="AM24" s="21" t="str">
        <f t="shared" si="3"/>
        <v>{146}{64}{146}{64}{146}{64}</v>
      </c>
      <c r="AO24" s="35" t="str">
        <f t="shared" si="4"/>
        <v>1180 data 0,0,0</v>
      </c>
      <c r="AP24" s="35"/>
      <c r="AQ24" s="35"/>
      <c r="AS24" s="35"/>
      <c r="AT24" s="35"/>
      <c r="AU24" s="35"/>
      <c r="AV24" s="35"/>
      <c r="AW24" s="35"/>
      <c r="AX24" s="35"/>
      <c r="AY24" s="35"/>
      <c r="AZ24" s="35"/>
      <c r="BA24" s="35"/>
    </row>
    <row r="25" spans="2:53" ht="15" thickTop="1" thickBot="1" x14ac:dyDescent="0.5">
      <c r="B25">
        <v>19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0</v>
      </c>
      <c r="K25" s="17">
        <v>0</v>
      </c>
      <c r="L25" s="18">
        <v>0</v>
      </c>
      <c r="M25" s="18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7">
        <v>0</v>
      </c>
      <c r="T25" s="18">
        <v>0</v>
      </c>
      <c r="U25" s="18">
        <v>0</v>
      </c>
      <c r="V25" s="16">
        <v>0</v>
      </c>
      <c r="W25" s="16">
        <v>0</v>
      </c>
      <c r="X25" s="16">
        <v>0</v>
      </c>
      <c r="Y25" s="16">
        <v>0</v>
      </c>
      <c r="Z25" s="16">
        <v>0</v>
      </c>
      <c r="AA25" s="16">
        <v>0</v>
      </c>
      <c r="AC25" s="19">
        <f t="shared" si="0"/>
        <v>0</v>
      </c>
      <c r="AD25" s="19">
        <f t="shared" si="1"/>
        <v>0</v>
      </c>
      <c r="AE25" s="19">
        <f t="shared" si="2"/>
        <v>0</v>
      </c>
      <c r="AG25">
        <f>VLOOKUP(AC25,'Char to Screen Byte Value'!A:C,2,FALSE)</f>
        <v>146</v>
      </c>
      <c r="AH25">
        <f>VLOOKUP(AC25,'Char to Screen Byte Value'!A:C,3,FALSE)</f>
        <v>64</v>
      </c>
      <c r="AI25">
        <f>VLOOKUP(AD25,'Char to Screen Byte Value'!A:C,2,FALSE)</f>
        <v>146</v>
      </c>
      <c r="AJ25">
        <f>VLOOKUP(AD25,'Char to Screen Byte Value'!A:C,3,FALSE)</f>
        <v>64</v>
      </c>
      <c r="AK25">
        <f>VLOOKUP(AE25,'Char to Screen Byte Value'!A:C,2,FALSE)</f>
        <v>146</v>
      </c>
      <c r="AL25">
        <f>VLOOKUP(AE25,'Char to Screen Byte Value'!A:C,3,FALSE)</f>
        <v>64</v>
      </c>
      <c r="AM25" s="21" t="str">
        <f t="shared" si="3"/>
        <v>{146}{64}{146}{64}{146}{64}</v>
      </c>
      <c r="AO25" s="35" t="str">
        <f t="shared" si="4"/>
        <v>1190 data 0,0,0</v>
      </c>
      <c r="AP25" s="35"/>
      <c r="AQ25" s="35"/>
      <c r="AS25" s="35"/>
      <c r="AT25" s="35"/>
      <c r="AU25" s="35"/>
      <c r="AV25" s="35"/>
      <c r="AW25" s="35"/>
      <c r="AX25" s="35"/>
      <c r="AY25" s="35"/>
      <c r="AZ25" s="35"/>
      <c r="BA25" s="35"/>
    </row>
    <row r="26" spans="2:53" ht="15" thickTop="1" thickBot="1" x14ac:dyDescent="0.5">
      <c r="B26">
        <v>20</v>
      </c>
      <c r="D26" s="16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7">
        <v>0</v>
      </c>
      <c r="L26" s="18">
        <v>0</v>
      </c>
      <c r="M26" s="18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7">
        <v>0</v>
      </c>
      <c r="T26" s="18">
        <v>0</v>
      </c>
      <c r="U26" s="18">
        <v>0</v>
      </c>
      <c r="V26" s="16">
        <v>0</v>
      </c>
      <c r="W26" s="16">
        <v>0</v>
      </c>
      <c r="X26" s="16">
        <v>0</v>
      </c>
      <c r="Y26" s="16">
        <v>0</v>
      </c>
      <c r="Z26" s="16">
        <v>0</v>
      </c>
      <c r="AA26" s="16">
        <v>0</v>
      </c>
      <c r="AC26" s="19">
        <f t="shared" si="0"/>
        <v>0</v>
      </c>
      <c r="AD26" s="19">
        <f t="shared" si="1"/>
        <v>0</v>
      </c>
      <c r="AE26" s="19">
        <f t="shared" si="2"/>
        <v>0</v>
      </c>
      <c r="AG26">
        <f>VLOOKUP(AC26,'Char to Screen Byte Value'!A:C,2,FALSE)</f>
        <v>146</v>
      </c>
      <c r="AH26">
        <f>VLOOKUP(AC26,'Char to Screen Byte Value'!A:C,3,FALSE)</f>
        <v>64</v>
      </c>
      <c r="AI26">
        <f>VLOOKUP(AD26,'Char to Screen Byte Value'!A:C,2,FALSE)</f>
        <v>146</v>
      </c>
      <c r="AJ26">
        <f>VLOOKUP(AD26,'Char to Screen Byte Value'!A:C,3,FALSE)</f>
        <v>64</v>
      </c>
      <c r="AK26">
        <f>VLOOKUP(AE26,'Char to Screen Byte Value'!A:C,2,FALSE)</f>
        <v>146</v>
      </c>
      <c r="AL26">
        <f>VLOOKUP(AE26,'Char to Screen Byte Value'!A:C,3,FALSE)</f>
        <v>64</v>
      </c>
      <c r="AM26" s="21" t="str">
        <f t="shared" si="3"/>
        <v>{146}{64}{146}{64}{146}{64}</v>
      </c>
      <c r="AO26" s="35" t="str">
        <f t="shared" si="4"/>
        <v>1200 data 0,0,0</v>
      </c>
      <c r="AP26" s="35"/>
      <c r="AQ26" s="35"/>
      <c r="AS26" s="35"/>
      <c r="AT26" s="35"/>
      <c r="AU26" s="35"/>
      <c r="AV26" s="35"/>
      <c r="AW26" s="35"/>
      <c r="AX26" s="35"/>
      <c r="AY26" s="35"/>
      <c r="AZ26" s="35"/>
      <c r="BA26" s="35"/>
    </row>
    <row r="27" spans="2:53" ht="15" thickTop="1" thickBot="1" x14ac:dyDescent="0.5">
      <c r="B27">
        <v>21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7">
        <v>0</v>
      </c>
      <c r="L27" s="18">
        <v>0</v>
      </c>
      <c r="M27" s="18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7">
        <v>0</v>
      </c>
      <c r="T27" s="18">
        <v>0</v>
      </c>
      <c r="U27" s="18">
        <v>0</v>
      </c>
      <c r="V27" s="16">
        <v>0</v>
      </c>
      <c r="W27" s="16">
        <v>0</v>
      </c>
      <c r="X27" s="16">
        <v>0</v>
      </c>
      <c r="Y27" s="16">
        <v>0</v>
      </c>
      <c r="Z27" s="16">
        <v>0</v>
      </c>
      <c r="AA27" s="16">
        <v>0</v>
      </c>
      <c r="AC27" s="19">
        <f t="shared" si="0"/>
        <v>0</v>
      </c>
      <c r="AD27" s="19">
        <f t="shared" si="1"/>
        <v>0</v>
      </c>
      <c r="AE27" s="19">
        <f t="shared" si="2"/>
        <v>0</v>
      </c>
      <c r="AG27">
        <f>VLOOKUP(AC27,'Char to Screen Byte Value'!A:C,2,FALSE)</f>
        <v>146</v>
      </c>
      <c r="AH27">
        <f>VLOOKUP(AC27,'Char to Screen Byte Value'!A:C,3,FALSE)</f>
        <v>64</v>
      </c>
      <c r="AI27">
        <f>VLOOKUP(AD27,'Char to Screen Byte Value'!A:C,2,FALSE)</f>
        <v>146</v>
      </c>
      <c r="AJ27">
        <f>VLOOKUP(AD27,'Char to Screen Byte Value'!A:C,3,FALSE)</f>
        <v>64</v>
      </c>
      <c r="AK27">
        <f>VLOOKUP(AE27,'Char to Screen Byte Value'!A:C,2,FALSE)</f>
        <v>146</v>
      </c>
      <c r="AL27">
        <f>VLOOKUP(AE27,'Char to Screen Byte Value'!A:C,3,FALSE)</f>
        <v>64</v>
      </c>
      <c r="AM27" s="21" t="str">
        <f t="shared" si="3"/>
        <v>{146}{64}{146}{64}{146}{64}</v>
      </c>
      <c r="AO27" s="35" t="str">
        <f t="shared" si="4"/>
        <v>1210 data 0,0,0</v>
      </c>
      <c r="AP27" s="35"/>
      <c r="AQ27" s="35"/>
      <c r="AS27" s="35"/>
      <c r="AT27" s="35"/>
      <c r="AU27" s="35"/>
      <c r="AV27" s="35"/>
      <c r="AW27" s="35"/>
      <c r="AX27" s="35"/>
      <c r="AY27" s="35"/>
      <c r="AZ27" s="35"/>
      <c r="BA27" s="35"/>
    </row>
    <row r="28" spans="2:53" ht="14.65" thickTop="1" x14ac:dyDescent="0.45"/>
    <row r="29" spans="2:53" x14ac:dyDescent="0.45">
      <c r="AG29" s="36" t="s">
        <v>14</v>
      </c>
      <c r="AH29" s="36"/>
      <c r="AI29" s="36"/>
      <c r="AJ29" s="36"/>
      <c r="AK29" s="36"/>
      <c r="AL29" s="36"/>
      <c r="AM29" s="20"/>
    </row>
    <row r="30" spans="2:53" x14ac:dyDescent="0.45">
      <c r="AE30" t="s">
        <v>15</v>
      </c>
      <c r="AG30" s="37" t="str">
        <f>AM7&amp;AM8&amp;AM9&amp;AM10&amp;AM11&amp;AM12&amp;AM13&amp;AM14&amp;AM15&amp;AM16</f>
        <v>{146}{96}{146}{64}{146}{64}{146}{64}{146}{64}{146}{64}{146}{70}{146}{64}{146}{160}{146}{70}{146}{64}{146}{160}{146}{65}{18}{65}{18}{64}{146}{65}{18}{65}{18}{64}{146}{71}{18}{191}{18}{160}{146}{95}{18}{191}{18}{160}{146}{92}{18}{190}{146}{184}{146}{92}{18}{190}{146}{184}</v>
      </c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</row>
    <row r="31" spans="2:53" x14ac:dyDescent="0.45"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</row>
    <row r="32" spans="2:53" x14ac:dyDescent="0.45"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</row>
    <row r="34" spans="29:52" x14ac:dyDescent="0.45">
      <c r="AE34" t="s">
        <v>16</v>
      </c>
      <c r="AG34" s="38" t="str">
        <f>AM17&amp;AM18&amp;AM19&amp;AM20&amp;AM21&amp;AM22&amp;AM23&amp;AM24&amp;AM25&amp;AM26&amp;AM27</f>
        <v>{146}{191}{18}{191}{18}{190}{146}{191}{18}{191}{18}{190}{146}{167}{18}{191}{18}{190}{146}{166}{146}{64}{146}{166}{146}{166}{146}{64}{146}{166}{146}{65}{18}{167}{18}{64}{146}{65}{18}{167}{18}{64}{146}{64}{146}{64}{146}{64}{146}{64}{146}{64}{146}{64}{146}{64}{146}{64}{146}{64}{146}{64}{146}{64}{146}{64}</v>
      </c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</row>
    <row r="35" spans="29:52" x14ac:dyDescent="0.45"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</row>
    <row r="36" spans="29:52" x14ac:dyDescent="0.45"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</row>
    <row r="37" spans="29:52" x14ac:dyDescent="0.45"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</row>
    <row r="39" spans="29:52" ht="15" customHeight="1" x14ac:dyDescent="0.45">
      <c r="AG39" s="37" t="s">
        <v>21</v>
      </c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</row>
    <row r="40" spans="29:52" x14ac:dyDescent="0.45"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</row>
    <row r="41" spans="29:52" x14ac:dyDescent="0.45"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</row>
    <row r="42" spans="29:52" ht="15" customHeight="1" x14ac:dyDescent="0.45">
      <c r="AC42" s="11" t="s">
        <v>17</v>
      </c>
      <c r="AD42" s="5">
        <v>86</v>
      </c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</row>
    <row r="45" spans="29:52" x14ac:dyDescent="0.45">
      <c r="AG45" t="str">
        <f>TRIM(AG39)</f>
        <v>{146}{64}{64}{64}{64}{64}{64}{70}{64}{160}{70}{64}{160}{65}{18}{65}{64}{146}{65}{18}{65}{64}{146}{71}{18}{191}{160}{146}{95}{18}{191}{160}{146}{92}{18}{190}{146}{184}{92}{18}{190}{146}{184}{191}{18}{191}{190}{146}{191}{18}{191}{190}{146}{167}{18}{191}{190}{146}{166}{64}{166}{166}{64}{166}{65}{18}{167}{64}{146}{65}{18}{167}{64}{146}{64}{64}{64}{64}{64}{64}{64}{64}{64}{64}{64}{64}</v>
      </c>
    </row>
  </sheetData>
  <mergeCells count="31">
    <mergeCell ref="AO7:AQ7"/>
    <mergeCell ref="AS7:BA27"/>
    <mergeCell ref="AO8:AQ8"/>
    <mergeCell ref="AO9:AQ9"/>
    <mergeCell ref="AO10:AQ10"/>
    <mergeCell ref="AO22:AQ22"/>
    <mergeCell ref="AO11:AQ11"/>
    <mergeCell ref="AO12:AQ12"/>
    <mergeCell ref="AO13:AQ13"/>
    <mergeCell ref="AO14:AQ14"/>
    <mergeCell ref="AO15:AQ15"/>
    <mergeCell ref="AO16:AQ16"/>
    <mergeCell ref="AO17:AQ17"/>
    <mergeCell ref="AO18:AQ18"/>
    <mergeCell ref="AO19:AQ19"/>
    <mergeCell ref="AO20:AQ20"/>
    <mergeCell ref="D4:AA4"/>
    <mergeCell ref="AO4:AP4"/>
    <mergeCell ref="AC6:AE6"/>
    <mergeCell ref="AO6:AQ6"/>
    <mergeCell ref="AS6:BA6"/>
    <mergeCell ref="AO21:AQ21"/>
    <mergeCell ref="AG29:AL29"/>
    <mergeCell ref="AG30:AT32"/>
    <mergeCell ref="AG34:AT37"/>
    <mergeCell ref="AG39:AZ42"/>
    <mergeCell ref="AO23:AQ23"/>
    <mergeCell ref="AO24:AQ24"/>
    <mergeCell ref="AO25:AQ25"/>
    <mergeCell ref="AO26:AQ26"/>
    <mergeCell ref="AO27:AQ27"/>
  </mergeCells>
  <conditionalFormatting sqref="D7:AA27">
    <cfRule type="cellIs" dxfId="4" priority="1" operator="equal">
      <formula>1</formula>
    </cfRule>
  </conditionalFormatting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41D47-4F5D-494B-B737-9BC863438CE5}">
  <sheetPr codeName="Sheet2"/>
  <dimension ref="A1:Q259"/>
  <sheetViews>
    <sheetView workbookViewId="0">
      <selection activeCell="N25" sqref="N25"/>
    </sheetView>
  </sheetViews>
  <sheetFormatPr defaultRowHeight="14.25" x14ac:dyDescent="0.45"/>
  <cols>
    <col min="2" max="2" width="9.1328125" style="1"/>
    <col min="4" max="11" width="3.73046875" customWidth="1"/>
  </cols>
  <sheetData>
    <row r="1" spans="1:17" x14ac:dyDescent="0.45">
      <c r="D1" s="43" t="s">
        <v>1</v>
      </c>
      <c r="E1" s="43"/>
      <c r="F1" s="43"/>
      <c r="G1" s="43"/>
      <c r="H1" s="43"/>
      <c r="I1" s="43"/>
      <c r="J1" s="43"/>
      <c r="K1" s="43"/>
    </row>
    <row r="2" spans="1:17" x14ac:dyDescent="0.45">
      <c r="B2" s="7" t="s">
        <v>2</v>
      </c>
      <c r="C2" s="7" t="s">
        <v>0</v>
      </c>
      <c r="D2" s="2">
        <f t="shared" ref="D2:K2" si="0">2^D3</f>
        <v>128</v>
      </c>
      <c r="E2" s="2">
        <f t="shared" si="0"/>
        <v>64</v>
      </c>
      <c r="F2" s="2">
        <f t="shared" si="0"/>
        <v>32</v>
      </c>
      <c r="G2" s="2">
        <f t="shared" si="0"/>
        <v>16</v>
      </c>
      <c r="H2" s="2">
        <f t="shared" si="0"/>
        <v>8</v>
      </c>
      <c r="I2" s="2">
        <f t="shared" si="0"/>
        <v>4</v>
      </c>
      <c r="J2" s="2">
        <f t="shared" si="0"/>
        <v>2</v>
      </c>
      <c r="K2" s="2">
        <f t="shared" si="0"/>
        <v>1</v>
      </c>
      <c r="O2" s="48" t="s">
        <v>20</v>
      </c>
      <c r="P2" s="48" t="s">
        <v>0</v>
      </c>
    </row>
    <row r="3" spans="1:17" x14ac:dyDescent="0.45">
      <c r="A3" s="1" t="s">
        <v>4</v>
      </c>
      <c r="B3" s="7" t="s">
        <v>3</v>
      </c>
      <c r="C3" s="7" t="s">
        <v>5</v>
      </c>
      <c r="D3" s="4">
        <v>7</v>
      </c>
      <c r="E3" s="4">
        <v>6</v>
      </c>
      <c r="F3" s="4">
        <v>5</v>
      </c>
      <c r="G3" s="4">
        <v>4</v>
      </c>
      <c r="H3" s="4">
        <v>3</v>
      </c>
      <c r="I3" s="4">
        <v>2</v>
      </c>
      <c r="J3" s="4">
        <v>1</v>
      </c>
      <c r="K3" s="4">
        <v>0</v>
      </c>
      <c r="O3" s="48"/>
      <c r="P3" s="48"/>
    </row>
    <row r="4" spans="1:17" x14ac:dyDescent="0.45">
      <c r="A4">
        <f t="shared" ref="A4:A67" si="1">D4*2^$D$3+E4*2^$E$3+F4*2^$F$3+G4*2^$G$3+H4*2^$H$3+I4*2^$I$3+J4*2^$J$3+K4*2^$K$3</f>
        <v>0</v>
      </c>
      <c r="B4" s="13">
        <v>146</v>
      </c>
      <c r="C4" s="6">
        <v>64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N4" s="44" t="s">
        <v>18</v>
      </c>
      <c r="O4" s="25">
        <v>0</v>
      </c>
      <c r="P4" s="25">
        <v>64</v>
      </c>
    </row>
    <row r="5" spans="1:17" x14ac:dyDescent="0.45">
      <c r="A5">
        <f t="shared" si="1"/>
        <v>1</v>
      </c>
      <c r="B5" s="13">
        <v>146</v>
      </c>
      <c r="C5" s="1">
        <v>65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1</v>
      </c>
      <c r="N5" s="45"/>
      <c r="O5" s="25">
        <v>31</v>
      </c>
      <c r="P5" s="25">
        <v>95</v>
      </c>
      <c r="Q5">
        <f>P5-P4</f>
        <v>31</v>
      </c>
    </row>
    <row r="6" spans="1:17" x14ac:dyDescent="0.45">
      <c r="A6">
        <f t="shared" si="1"/>
        <v>2</v>
      </c>
      <c r="B6" s="13">
        <v>146</v>
      </c>
      <c r="C6" s="6">
        <v>66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</v>
      </c>
      <c r="K6" s="3">
        <v>0</v>
      </c>
      <c r="N6" s="45"/>
      <c r="O6" s="26">
        <v>32</v>
      </c>
      <c r="P6" s="26">
        <v>32</v>
      </c>
    </row>
    <row r="7" spans="1:17" x14ac:dyDescent="0.45">
      <c r="A7">
        <f t="shared" si="1"/>
        <v>3</v>
      </c>
      <c r="B7" s="13">
        <v>146</v>
      </c>
      <c r="C7" s="1">
        <v>67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1</v>
      </c>
      <c r="K7" s="3">
        <v>1</v>
      </c>
      <c r="N7" s="45"/>
      <c r="O7" s="26">
        <v>63</v>
      </c>
      <c r="P7" s="26">
        <v>63</v>
      </c>
      <c r="Q7">
        <f>P7-P6</f>
        <v>31</v>
      </c>
    </row>
    <row r="8" spans="1:17" x14ac:dyDescent="0.45">
      <c r="A8">
        <f t="shared" si="1"/>
        <v>4</v>
      </c>
      <c r="B8" s="13">
        <v>146</v>
      </c>
      <c r="C8" s="6">
        <v>68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</v>
      </c>
      <c r="J8" s="3">
        <v>0</v>
      </c>
      <c r="K8" s="3">
        <v>0</v>
      </c>
      <c r="N8" s="45"/>
      <c r="O8" s="27">
        <v>64</v>
      </c>
      <c r="P8" s="27">
        <v>96</v>
      </c>
    </row>
    <row r="9" spans="1:17" x14ac:dyDescent="0.45">
      <c r="A9">
        <f t="shared" si="1"/>
        <v>5</v>
      </c>
      <c r="B9" s="13">
        <v>146</v>
      </c>
      <c r="C9" s="1">
        <v>69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1</v>
      </c>
      <c r="J9" s="3">
        <v>0</v>
      </c>
      <c r="K9" s="3">
        <v>1</v>
      </c>
      <c r="N9" s="45"/>
      <c r="O9" s="27">
        <v>95</v>
      </c>
      <c r="P9" s="27">
        <v>127</v>
      </c>
      <c r="Q9">
        <f>P9-P8</f>
        <v>31</v>
      </c>
    </row>
    <row r="10" spans="1:17" x14ac:dyDescent="0.45">
      <c r="A10">
        <f t="shared" si="1"/>
        <v>6</v>
      </c>
      <c r="B10" s="13">
        <v>146</v>
      </c>
      <c r="C10" s="6">
        <v>70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1</v>
      </c>
      <c r="K10" s="3">
        <v>0</v>
      </c>
      <c r="N10" s="45"/>
      <c r="O10" s="28">
        <v>96</v>
      </c>
      <c r="P10" s="28">
        <v>160</v>
      </c>
    </row>
    <row r="11" spans="1:17" x14ac:dyDescent="0.45">
      <c r="A11">
        <f t="shared" si="1"/>
        <v>7</v>
      </c>
      <c r="B11" s="13">
        <v>146</v>
      </c>
      <c r="C11" s="1">
        <v>71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</v>
      </c>
      <c r="J11" s="3">
        <v>1</v>
      </c>
      <c r="K11" s="3">
        <v>1</v>
      </c>
      <c r="N11" s="45"/>
      <c r="O11" s="28">
        <v>127</v>
      </c>
      <c r="P11" s="28">
        <v>191</v>
      </c>
      <c r="Q11">
        <f>P11-P10</f>
        <v>31</v>
      </c>
    </row>
    <row r="12" spans="1:17" x14ac:dyDescent="0.45">
      <c r="A12">
        <f t="shared" si="1"/>
        <v>8</v>
      </c>
      <c r="B12" s="13">
        <v>146</v>
      </c>
      <c r="C12" s="6">
        <v>72</v>
      </c>
      <c r="D12" s="3">
        <v>0</v>
      </c>
      <c r="E12" s="3">
        <v>0</v>
      </c>
      <c r="F12" s="3">
        <v>0</v>
      </c>
      <c r="G12" s="3">
        <v>0</v>
      </c>
      <c r="H12" s="3">
        <v>1</v>
      </c>
      <c r="I12" s="3">
        <v>0</v>
      </c>
      <c r="J12" s="3">
        <v>0</v>
      </c>
      <c r="K12" s="3">
        <v>0</v>
      </c>
      <c r="N12" s="46" t="s">
        <v>19</v>
      </c>
      <c r="O12" s="29">
        <v>128</v>
      </c>
      <c r="P12" s="29">
        <v>64</v>
      </c>
    </row>
    <row r="13" spans="1:17" x14ac:dyDescent="0.45">
      <c r="A13">
        <f t="shared" si="1"/>
        <v>9</v>
      </c>
      <c r="B13" s="13">
        <v>146</v>
      </c>
      <c r="C13" s="1">
        <v>73</v>
      </c>
      <c r="D13" s="3">
        <v>0</v>
      </c>
      <c r="E13" s="3">
        <v>0</v>
      </c>
      <c r="F13" s="3">
        <v>0</v>
      </c>
      <c r="G13" s="3">
        <v>0</v>
      </c>
      <c r="H13" s="3">
        <v>1</v>
      </c>
      <c r="I13" s="3">
        <v>0</v>
      </c>
      <c r="J13" s="3">
        <v>0</v>
      </c>
      <c r="K13" s="3">
        <v>1</v>
      </c>
      <c r="N13" s="47"/>
      <c r="O13" s="29">
        <v>159</v>
      </c>
      <c r="P13" s="29">
        <v>95</v>
      </c>
      <c r="Q13">
        <f>P13-P12</f>
        <v>31</v>
      </c>
    </row>
    <row r="14" spans="1:17" x14ac:dyDescent="0.45">
      <c r="A14">
        <f t="shared" si="1"/>
        <v>10</v>
      </c>
      <c r="B14" s="13">
        <v>146</v>
      </c>
      <c r="C14" s="6">
        <v>74</v>
      </c>
      <c r="D14" s="3">
        <v>0</v>
      </c>
      <c r="E14" s="3">
        <v>0</v>
      </c>
      <c r="F14" s="3">
        <v>0</v>
      </c>
      <c r="G14" s="3">
        <v>0</v>
      </c>
      <c r="H14" s="3">
        <v>1</v>
      </c>
      <c r="I14" s="3">
        <v>0</v>
      </c>
      <c r="J14" s="3">
        <v>1</v>
      </c>
      <c r="K14" s="3">
        <v>0</v>
      </c>
      <c r="N14" s="47"/>
      <c r="O14" s="30">
        <v>160</v>
      </c>
      <c r="P14" s="30">
        <v>32</v>
      </c>
    </row>
    <row r="15" spans="1:17" x14ac:dyDescent="0.45">
      <c r="A15">
        <f t="shared" si="1"/>
        <v>11</v>
      </c>
      <c r="B15" s="13">
        <v>146</v>
      </c>
      <c r="C15" s="1">
        <v>75</v>
      </c>
      <c r="D15" s="3">
        <v>0</v>
      </c>
      <c r="E15" s="3">
        <v>0</v>
      </c>
      <c r="F15" s="3">
        <v>0</v>
      </c>
      <c r="G15" s="3">
        <v>0</v>
      </c>
      <c r="H15" s="3">
        <v>1</v>
      </c>
      <c r="I15" s="3">
        <v>0</v>
      </c>
      <c r="J15" s="3">
        <v>1</v>
      </c>
      <c r="K15" s="3">
        <v>1</v>
      </c>
      <c r="N15" s="47"/>
      <c r="O15" s="30">
        <v>191</v>
      </c>
      <c r="P15" s="30">
        <v>63</v>
      </c>
      <c r="Q15">
        <f>P15-P14</f>
        <v>31</v>
      </c>
    </row>
    <row r="16" spans="1:17" x14ac:dyDescent="0.45">
      <c r="A16">
        <f t="shared" si="1"/>
        <v>12</v>
      </c>
      <c r="B16" s="13">
        <v>146</v>
      </c>
      <c r="C16" s="6">
        <v>76</v>
      </c>
      <c r="D16" s="3">
        <v>0</v>
      </c>
      <c r="E16" s="3">
        <v>0</v>
      </c>
      <c r="F16" s="3">
        <v>0</v>
      </c>
      <c r="G16" s="3">
        <v>0</v>
      </c>
      <c r="H16" s="3">
        <v>1</v>
      </c>
      <c r="I16" s="3">
        <v>1</v>
      </c>
      <c r="J16" s="3">
        <v>0</v>
      </c>
      <c r="K16" s="3">
        <v>0</v>
      </c>
      <c r="N16" s="47"/>
      <c r="O16" s="28">
        <v>192</v>
      </c>
      <c r="P16" s="28">
        <v>96</v>
      </c>
    </row>
    <row r="17" spans="1:17" x14ac:dyDescent="0.45">
      <c r="A17">
        <f t="shared" si="1"/>
        <v>13</v>
      </c>
      <c r="B17" s="13">
        <v>146</v>
      </c>
      <c r="C17" s="1">
        <v>77</v>
      </c>
      <c r="D17" s="3">
        <v>0</v>
      </c>
      <c r="E17" s="3">
        <v>0</v>
      </c>
      <c r="F17" s="3">
        <v>0</v>
      </c>
      <c r="G17" s="3">
        <v>0</v>
      </c>
      <c r="H17" s="3">
        <v>1</v>
      </c>
      <c r="I17" s="3">
        <v>1</v>
      </c>
      <c r="J17" s="3">
        <v>0</v>
      </c>
      <c r="K17" s="3">
        <v>1</v>
      </c>
      <c r="N17" s="47"/>
      <c r="O17" s="28">
        <v>223</v>
      </c>
      <c r="P17" s="28">
        <v>127</v>
      </c>
      <c r="Q17">
        <f>P17-P16</f>
        <v>31</v>
      </c>
    </row>
    <row r="18" spans="1:17" x14ac:dyDescent="0.45">
      <c r="A18">
        <f t="shared" si="1"/>
        <v>14</v>
      </c>
      <c r="B18" s="13">
        <v>146</v>
      </c>
      <c r="C18" s="6">
        <v>78</v>
      </c>
      <c r="D18" s="3">
        <v>0</v>
      </c>
      <c r="E18" s="3">
        <v>0</v>
      </c>
      <c r="F18" s="3">
        <v>0</v>
      </c>
      <c r="G18" s="3">
        <v>0</v>
      </c>
      <c r="H18" s="3">
        <v>1</v>
      </c>
      <c r="I18" s="3">
        <v>1</v>
      </c>
      <c r="J18" s="3">
        <v>1</v>
      </c>
      <c r="K18" s="3">
        <v>0</v>
      </c>
      <c r="N18" s="47"/>
      <c r="O18" s="31">
        <v>224</v>
      </c>
      <c r="P18" s="31">
        <v>160</v>
      </c>
    </row>
    <row r="19" spans="1:17" x14ac:dyDescent="0.45">
      <c r="A19">
        <f t="shared" si="1"/>
        <v>15</v>
      </c>
      <c r="B19" s="13">
        <v>146</v>
      </c>
      <c r="C19" s="1">
        <v>79</v>
      </c>
      <c r="D19" s="3">
        <v>0</v>
      </c>
      <c r="E19" s="3">
        <v>0</v>
      </c>
      <c r="F19" s="3">
        <v>0</v>
      </c>
      <c r="G19" s="3">
        <v>0</v>
      </c>
      <c r="H19" s="3">
        <v>1</v>
      </c>
      <c r="I19" s="3">
        <v>1</v>
      </c>
      <c r="J19" s="3">
        <v>1</v>
      </c>
      <c r="K19" s="3">
        <v>1</v>
      </c>
      <c r="N19" s="47"/>
      <c r="O19" s="31">
        <v>255</v>
      </c>
      <c r="P19" s="31">
        <v>191</v>
      </c>
      <c r="Q19">
        <f>P19-P18</f>
        <v>31</v>
      </c>
    </row>
    <row r="20" spans="1:17" x14ac:dyDescent="0.45">
      <c r="A20">
        <f t="shared" si="1"/>
        <v>16</v>
      </c>
      <c r="B20" s="13">
        <v>146</v>
      </c>
      <c r="C20" s="6">
        <v>80</v>
      </c>
      <c r="D20" s="3">
        <v>0</v>
      </c>
      <c r="E20" s="3">
        <v>0</v>
      </c>
      <c r="F20" s="3">
        <v>0</v>
      </c>
      <c r="G20" s="3">
        <v>1</v>
      </c>
      <c r="H20" s="3">
        <v>0</v>
      </c>
      <c r="I20" s="3">
        <v>0</v>
      </c>
      <c r="J20" s="3">
        <v>0</v>
      </c>
      <c r="K20" s="3">
        <v>0</v>
      </c>
    </row>
    <row r="21" spans="1:17" x14ac:dyDescent="0.45">
      <c r="A21">
        <f t="shared" si="1"/>
        <v>17</v>
      </c>
      <c r="B21" s="13">
        <v>146</v>
      </c>
      <c r="C21" s="1">
        <v>81</v>
      </c>
      <c r="D21" s="3">
        <v>0</v>
      </c>
      <c r="E21" s="3">
        <v>0</v>
      </c>
      <c r="F21" s="3">
        <v>0</v>
      </c>
      <c r="G21" s="3">
        <v>1</v>
      </c>
      <c r="H21" s="3">
        <v>0</v>
      </c>
      <c r="I21" s="3">
        <v>0</v>
      </c>
      <c r="J21" s="3">
        <v>0</v>
      </c>
      <c r="K21" s="3">
        <v>1</v>
      </c>
    </row>
    <row r="22" spans="1:17" x14ac:dyDescent="0.45">
      <c r="A22">
        <f t="shared" si="1"/>
        <v>18</v>
      </c>
      <c r="B22" s="13">
        <v>146</v>
      </c>
      <c r="C22" s="6">
        <v>82</v>
      </c>
      <c r="D22" s="3">
        <v>0</v>
      </c>
      <c r="E22" s="3">
        <v>0</v>
      </c>
      <c r="F22" s="3">
        <v>0</v>
      </c>
      <c r="G22" s="3">
        <v>1</v>
      </c>
      <c r="H22" s="3">
        <v>0</v>
      </c>
      <c r="I22" s="3">
        <v>0</v>
      </c>
      <c r="J22" s="3">
        <v>1</v>
      </c>
      <c r="K22" s="3">
        <v>0</v>
      </c>
    </row>
    <row r="23" spans="1:17" x14ac:dyDescent="0.45">
      <c r="A23">
        <f t="shared" si="1"/>
        <v>19</v>
      </c>
      <c r="B23" s="13">
        <v>146</v>
      </c>
      <c r="C23" s="1">
        <v>83</v>
      </c>
      <c r="D23" s="3">
        <v>0</v>
      </c>
      <c r="E23" s="3">
        <v>0</v>
      </c>
      <c r="F23" s="3">
        <v>0</v>
      </c>
      <c r="G23" s="3">
        <v>1</v>
      </c>
      <c r="H23" s="3">
        <v>0</v>
      </c>
      <c r="I23" s="3">
        <v>0</v>
      </c>
      <c r="J23" s="3">
        <v>1</v>
      </c>
      <c r="K23" s="3">
        <v>1</v>
      </c>
    </row>
    <row r="24" spans="1:17" x14ac:dyDescent="0.45">
      <c r="A24">
        <f t="shared" si="1"/>
        <v>20</v>
      </c>
      <c r="B24" s="13">
        <v>146</v>
      </c>
      <c r="C24" s="6">
        <v>84</v>
      </c>
      <c r="D24" s="3">
        <v>0</v>
      </c>
      <c r="E24" s="3">
        <v>0</v>
      </c>
      <c r="F24" s="3">
        <v>0</v>
      </c>
      <c r="G24" s="3">
        <v>1</v>
      </c>
      <c r="H24" s="3">
        <v>0</v>
      </c>
      <c r="I24" s="3">
        <v>1</v>
      </c>
      <c r="J24" s="3">
        <v>0</v>
      </c>
      <c r="K24" s="3">
        <v>0</v>
      </c>
    </row>
    <row r="25" spans="1:17" x14ac:dyDescent="0.45">
      <c r="A25">
        <f t="shared" si="1"/>
        <v>21</v>
      </c>
      <c r="B25" s="13">
        <v>146</v>
      </c>
      <c r="C25" s="1">
        <v>85</v>
      </c>
      <c r="D25" s="3">
        <v>0</v>
      </c>
      <c r="E25" s="3">
        <v>0</v>
      </c>
      <c r="F25" s="3">
        <v>0</v>
      </c>
      <c r="G25" s="3">
        <v>1</v>
      </c>
      <c r="H25" s="3">
        <v>0</v>
      </c>
      <c r="I25" s="3">
        <v>1</v>
      </c>
      <c r="J25" s="3">
        <v>0</v>
      </c>
      <c r="K25" s="3">
        <v>1</v>
      </c>
    </row>
    <row r="26" spans="1:17" x14ac:dyDescent="0.45">
      <c r="A26">
        <f t="shared" si="1"/>
        <v>22</v>
      </c>
      <c r="B26" s="13">
        <v>146</v>
      </c>
      <c r="C26" s="6">
        <v>86</v>
      </c>
      <c r="D26" s="3">
        <v>0</v>
      </c>
      <c r="E26" s="3">
        <v>0</v>
      </c>
      <c r="F26" s="3">
        <v>0</v>
      </c>
      <c r="G26" s="3">
        <v>1</v>
      </c>
      <c r="H26" s="3">
        <v>0</v>
      </c>
      <c r="I26" s="3">
        <v>1</v>
      </c>
      <c r="J26" s="3">
        <v>1</v>
      </c>
      <c r="K26" s="3">
        <v>0</v>
      </c>
    </row>
    <row r="27" spans="1:17" x14ac:dyDescent="0.45">
      <c r="A27">
        <f t="shared" si="1"/>
        <v>23</v>
      </c>
      <c r="B27" s="13">
        <v>146</v>
      </c>
      <c r="C27" s="1">
        <v>87</v>
      </c>
      <c r="D27" s="3">
        <v>0</v>
      </c>
      <c r="E27" s="3">
        <v>0</v>
      </c>
      <c r="F27" s="3">
        <v>0</v>
      </c>
      <c r="G27" s="3">
        <v>1</v>
      </c>
      <c r="H27" s="3">
        <v>0</v>
      </c>
      <c r="I27" s="3">
        <v>1</v>
      </c>
      <c r="J27" s="3">
        <v>1</v>
      </c>
      <c r="K27" s="3">
        <v>1</v>
      </c>
    </row>
    <row r="28" spans="1:17" x14ac:dyDescent="0.45">
      <c r="A28">
        <f t="shared" si="1"/>
        <v>24</v>
      </c>
      <c r="B28" s="13">
        <v>146</v>
      </c>
      <c r="C28" s="6">
        <v>88</v>
      </c>
      <c r="D28" s="3">
        <v>0</v>
      </c>
      <c r="E28" s="3">
        <v>0</v>
      </c>
      <c r="F28" s="3">
        <v>0</v>
      </c>
      <c r="G28" s="3">
        <v>1</v>
      </c>
      <c r="H28" s="3">
        <v>1</v>
      </c>
      <c r="I28" s="3">
        <v>0</v>
      </c>
      <c r="J28" s="3">
        <v>0</v>
      </c>
      <c r="K28" s="3">
        <v>0</v>
      </c>
    </row>
    <row r="29" spans="1:17" x14ac:dyDescent="0.45">
      <c r="A29">
        <f t="shared" si="1"/>
        <v>25</v>
      </c>
      <c r="B29" s="13">
        <v>146</v>
      </c>
      <c r="C29" s="1">
        <v>89</v>
      </c>
      <c r="D29" s="3">
        <v>0</v>
      </c>
      <c r="E29" s="3">
        <v>0</v>
      </c>
      <c r="F29" s="3">
        <v>0</v>
      </c>
      <c r="G29" s="3">
        <v>1</v>
      </c>
      <c r="H29" s="3">
        <v>1</v>
      </c>
      <c r="I29" s="3">
        <v>0</v>
      </c>
      <c r="J29" s="3">
        <v>0</v>
      </c>
      <c r="K29" s="3">
        <v>1</v>
      </c>
    </row>
    <row r="30" spans="1:17" x14ac:dyDescent="0.45">
      <c r="A30">
        <f t="shared" si="1"/>
        <v>26</v>
      </c>
      <c r="B30" s="13">
        <v>146</v>
      </c>
      <c r="C30" s="6">
        <v>90</v>
      </c>
      <c r="D30" s="3">
        <v>0</v>
      </c>
      <c r="E30" s="3">
        <v>0</v>
      </c>
      <c r="F30" s="3">
        <v>0</v>
      </c>
      <c r="G30" s="3">
        <v>1</v>
      </c>
      <c r="H30" s="3">
        <v>1</v>
      </c>
      <c r="I30" s="3">
        <v>0</v>
      </c>
      <c r="J30" s="3">
        <v>1</v>
      </c>
      <c r="K30" s="3">
        <v>0</v>
      </c>
    </row>
    <row r="31" spans="1:17" x14ac:dyDescent="0.45">
      <c r="A31">
        <f t="shared" si="1"/>
        <v>27</v>
      </c>
      <c r="B31" s="13">
        <v>146</v>
      </c>
      <c r="C31" s="1">
        <v>91</v>
      </c>
      <c r="D31" s="3">
        <v>0</v>
      </c>
      <c r="E31" s="3">
        <v>0</v>
      </c>
      <c r="F31" s="3">
        <v>0</v>
      </c>
      <c r="G31" s="3">
        <v>1</v>
      </c>
      <c r="H31" s="3">
        <v>1</v>
      </c>
      <c r="I31" s="3">
        <v>0</v>
      </c>
      <c r="J31" s="3">
        <v>1</v>
      </c>
      <c r="K31" s="3">
        <v>1</v>
      </c>
    </row>
    <row r="32" spans="1:17" x14ac:dyDescent="0.45">
      <c r="A32">
        <f t="shared" si="1"/>
        <v>28</v>
      </c>
      <c r="B32" s="13">
        <v>146</v>
      </c>
      <c r="C32" s="6">
        <v>92</v>
      </c>
      <c r="D32" s="3">
        <v>0</v>
      </c>
      <c r="E32" s="3">
        <v>0</v>
      </c>
      <c r="F32" s="3">
        <v>0</v>
      </c>
      <c r="G32" s="3">
        <v>1</v>
      </c>
      <c r="H32" s="3">
        <v>1</v>
      </c>
      <c r="I32" s="3">
        <v>1</v>
      </c>
      <c r="J32" s="3">
        <v>0</v>
      </c>
      <c r="K32" s="3">
        <v>0</v>
      </c>
    </row>
    <row r="33" spans="1:12" x14ac:dyDescent="0.45">
      <c r="A33">
        <f t="shared" si="1"/>
        <v>29</v>
      </c>
      <c r="B33" s="13">
        <v>146</v>
      </c>
      <c r="C33" s="1">
        <v>93</v>
      </c>
      <c r="D33" s="3">
        <v>0</v>
      </c>
      <c r="E33" s="3">
        <v>0</v>
      </c>
      <c r="F33" s="3">
        <v>0</v>
      </c>
      <c r="G33" s="3">
        <v>1</v>
      </c>
      <c r="H33" s="3">
        <v>1</v>
      </c>
      <c r="I33" s="3">
        <v>1</v>
      </c>
      <c r="J33" s="3">
        <v>0</v>
      </c>
      <c r="K33" s="3">
        <v>1</v>
      </c>
    </row>
    <row r="34" spans="1:12" x14ac:dyDescent="0.45">
      <c r="A34">
        <f t="shared" si="1"/>
        <v>30</v>
      </c>
      <c r="B34" s="13">
        <v>146</v>
      </c>
      <c r="C34" s="6">
        <v>94</v>
      </c>
      <c r="D34" s="3">
        <v>0</v>
      </c>
      <c r="E34" s="3">
        <v>0</v>
      </c>
      <c r="F34" s="3">
        <v>0</v>
      </c>
      <c r="G34" s="3">
        <v>1</v>
      </c>
      <c r="H34" s="3">
        <v>1</v>
      </c>
      <c r="I34" s="3">
        <v>1</v>
      </c>
      <c r="J34" s="3">
        <v>1</v>
      </c>
      <c r="K34" s="3">
        <v>0</v>
      </c>
    </row>
    <row r="35" spans="1:12" x14ac:dyDescent="0.45">
      <c r="A35">
        <f t="shared" si="1"/>
        <v>31</v>
      </c>
      <c r="B35" s="13">
        <v>146</v>
      </c>
      <c r="C35" s="1">
        <v>95</v>
      </c>
      <c r="D35" s="3">
        <v>0</v>
      </c>
      <c r="E35" s="3">
        <v>0</v>
      </c>
      <c r="F35" s="3">
        <v>0</v>
      </c>
      <c r="G35" s="3">
        <v>1</v>
      </c>
      <c r="H35" s="3">
        <v>1</v>
      </c>
      <c r="I35" s="3">
        <v>1</v>
      </c>
      <c r="J35" s="3">
        <v>1</v>
      </c>
      <c r="K35" s="3">
        <v>1</v>
      </c>
    </row>
    <row r="36" spans="1:12" x14ac:dyDescent="0.45">
      <c r="A36" s="5">
        <f t="shared" si="1"/>
        <v>32</v>
      </c>
      <c r="B36" s="22">
        <v>146</v>
      </c>
      <c r="C36" s="23">
        <v>32</v>
      </c>
      <c r="D36" s="24">
        <v>0</v>
      </c>
      <c r="E36" s="24">
        <v>0</v>
      </c>
      <c r="F36" s="24">
        <v>1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5"/>
    </row>
    <row r="37" spans="1:12" x14ac:dyDescent="0.45">
      <c r="A37">
        <f t="shared" si="1"/>
        <v>33</v>
      </c>
      <c r="B37" s="13">
        <v>146</v>
      </c>
      <c r="C37" s="6">
        <v>33</v>
      </c>
      <c r="D37" s="3">
        <v>0</v>
      </c>
      <c r="E37" s="3">
        <v>0</v>
      </c>
      <c r="F37" s="3">
        <v>1</v>
      </c>
      <c r="G37" s="3">
        <v>0</v>
      </c>
      <c r="H37" s="3">
        <v>0</v>
      </c>
      <c r="I37" s="3">
        <v>0</v>
      </c>
      <c r="J37" s="3">
        <v>0</v>
      </c>
      <c r="K37" s="3">
        <v>1</v>
      </c>
    </row>
    <row r="38" spans="1:12" x14ac:dyDescent="0.45">
      <c r="A38">
        <f t="shared" si="1"/>
        <v>34</v>
      </c>
      <c r="B38" s="13">
        <v>146</v>
      </c>
      <c r="C38" s="6">
        <v>34</v>
      </c>
      <c r="D38" s="3">
        <v>0</v>
      </c>
      <c r="E38" s="3">
        <v>0</v>
      </c>
      <c r="F38" s="3">
        <v>1</v>
      </c>
      <c r="G38" s="3">
        <v>0</v>
      </c>
      <c r="H38" s="3">
        <v>0</v>
      </c>
      <c r="I38" s="3">
        <v>0</v>
      </c>
      <c r="J38" s="3">
        <v>1</v>
      </c>
      <c r="K38" s="3">
        <v>0</v>
      </c>
    </row>
    <row r="39" spans="1:12" x14ac:dyDescent="0.45">
      <c r="A39">
        <f t="shared" si="1"/>
        <v>35</v>
      </c>
      <c r="B39" s="13">
        <v>146</v>
      </c>
      <c r="C39" s="6">
        <v>35</v>
      </c>
      <c r="D39" s="3">
        <v>0</v>
      </c>
      <c r="E39" s="3">
        <v>0</v>
      </c>
      <c r="F39" s="3">
        <v>1</v>
      </c>
      <c r="G39" s="3">
        <v>0</v>
      </c>
      <c r="H39" s="3">
        <v>0</v>
      </c>
      <c r="I39" s="3">
        <v>0</v>
      </c>
      <c r="J39" s="3">
        <v>1</v>
      </c>
      <c r="K39" s="3">
        <v>1</v>
      </c>
    </row>
    <row r="40" spans="1:12" x14ac:dyDescent="0.45">
      <c r="A40">
        <f t="shared" si="1"/>
        <v>36</v>
      </c>
      <c r="B40" s="13">
        <v>146</v>
      </c>
      <c r="C40" s="6">
        <v>36</v>
      </c>
      <c r="D40" s="3">
        <v>0</v>
      </c>
      <c r="E40" s="3">
        <v>0</v>
      </c>
      <c r="F40" s="3">
        <v>1</v>
      </c>
      <c r="G40" s="3">
        <v>0</v>
      </c>
      <c r="H40" s="3">
        <v>0</v>
      </c>
      <c r="I40" s="3">
        <v>1</v>
      </c>
      <c r="J40" s="3">
        <v>0</v>
      </c>
      <c r="K40" s="3">
        <v>0</v>
      </c>
    </row>
    <row r="41" spans="1:12" x14ac:dyDescent="0.45">
      <c r="A41">
        <f t="shared" si="1"/>
        <v>37</v>
      </c>
      <c r="B41" s="13">
        <v>146</v>
      </c>
      <c r="C41" s="6">
        <v>37</v>
      </c>
      <c r="D41" s="3">
        <v>0</v>
      </c>
      <c r="E41" s="3">
        <v>0</v>
      </c>
      <c r="F41" s="3">
        <v>1</v>
      </c>
      <c r="G41" s="3">
        <v>0</v>
      </c>
      <c r="H41" s="3">
        <v>0</v>
      </c>
      <c r="I41" s="3">
        <v>1</v>
      </c>
      <c r="J41" s="3">
        <v>0</v>
      </c>
      <c r="K41" s="3">
        <v>1</v>
      </c>
    </row>
    <row r="42" spans="1:12" x14ac:dyDescent="0.45">
      <c r="A42">
        <f t="shared" si="1"/>
        <v>38</v>
      </c>
      <c r="B42" s="13">
        <v>146</v>
      </c>
      <c r="C42" s="6">
        <v>38</v>
      </c>
      <c r="D42" s="3">
        <v>0</v>
      </c>
      <c r="E42" s="3">
        <v>0</v>
      </c>
      <c r="F42" s="3">
        <v>1</v>
      </c>
      <c r="G42" s="3">
        <v>0</v>
      </c>
      <c r="H42" s="3">
        <v>0</v>
      </c>
      <c r="I42" s="3">
        <v>1</v>
      </c>
      <c r="J42" s="3">
        <v>1</v>
      </c>
      <c r="K42" s="3">
        <v>0</v>
      </c>
    </row>
    <row r="43" spans="1:12" x14ac:dyDescent="0.45">
      <c r="A43">
        <f t="shared" si="1"/>
        <v>39</v>
      </c>
      <c r="B43" s="13">
        <v>146</v>
      </c>
      <c r="C43" s="6">
        <v>39</v>
      </c>
      <c r="D43" s="3">
        <v>0</v>
      </c>
      <c r="E43" s="3">
        <v>0</v>
      </c>
      <c r="F43" s="3">
        <v>1</v>
      </c>
      <c r="G43" s="3">
        <v>0</v>
      </c>
      <c r="H43" s="3">
        <v>0</v>
      </c>
      <c r="I43" s="3">
        <v>1</v>
      </c>
      <c r="J43" s="3">
        <v>1</v>
      </c>
      <c r="K43" s="3">
        <v>1</v>
      </c>
    </row>
    <row r="44" spans="1:12" x14ac:dyDescent="0.45">
      <c r="A44">
        <f t="shared" si="1"/>
        <v>40</v>
      </c>
      <c r="B44" s="13">
        <v>146</v>
      </c>
      <c r="C44" s="6">
        <v>40</v>
      </c>
      <c r="D44" s="3">
        <v>0</v>
      </c>
      <c r="E44" s="3">
        <v>0</v>
      </c>
      <c r="F44" s="3">
        <v>1</v>
      </c>
      <c r="G44" s="3">
        <v>0</v>
      </c>
      <c r="H44" s="3">
        <v>1</v>
      </c>
      <c r="I44" s="3">
        <v>0</v>
      </c>
      <c r="J44" s="3">
        <v>0</v>
      </c>
      <c r="K44" s="3">
        <v>0</v>
      </c>
    </row>
    <row r="45" spans="1:12" x14ac:dyDescent="0.45">
      <c r="A45">
        <f t="shared" si="1"/>
        <v>41</v>
      </c>
      <c r="B45" s="13">
        <v>146</v>
      </c>
      <c r="C45" s="6">
        <v>41</v>
      </c>
      <c r="D45" s="3">
        <v>0</v>
      </c>
      <c r="E45" s="3">
        <v>0</v>
      </c>
      <c r="F45" s="3">
        <v>1</v>
      </c>
      <c r="G45" s="3">
        <v>0</v>
      </c>
      <c r="H45" s="3">
        <v>1</v>
      </c>
      <c r="I45" s="3">
        <v>0</v>
      </c>
      <c r="J45" s="3">
        <v>0</v>
      </c>
      <c r="K45" s="3">
        <v>1</v>
      </c>
    </row>
    <row r="46" spans="1:12" x14ac:dyDescent="0.45">
      <c r="A46">
        <f t="shared" si="1"/>
        <v>42</v>
      </c>
      <c r="B46" s="13">
        <v>146</v>
      </c>
      <c r="C46" s="6">
        <v>42</v>
      </c>
      <c r="D46" s="3">
        <v>0</v>
      </c>
      <c r="E46" s="3">
        <v>0</v>
      </c>
      <c r="F46" s="3">
        <v>1</v>
      </c>
      <c r="G46" s="3">
        <v>0</v>
      </c>
      <c r="H46" s="3">
        <v>1</v>
      </c>
      <c r="I46" s="3">
        <v>0</v>
      </c>
      <c r="J46" s="3">
        <v>1</v>
      </c>
      <c r="K46" s="3">
        <v>0</v>
      </c>
    </row>
    <row r="47" spans="1:12" x14ac:dyDescent="0.45">
      <c r="A47">
        <f t="shared" si="1"/>
        <v>43</v>
      </c>
      <c r="B47" s="13">
        <v>146</v>
      </c>
      <c r="C47" s="6">
        <v>43</v>
      </c>
      <c r="D47" s="3">
        <v>0</v>
      </c>
      <c r="E47" s="3">
        <v>0</v>
      </c>
      <c r="F47" s="3">
        <v>1</v>
      </c>
      <c r="G47" s="3">
        <v>0</v>
      </c>
      <c r="H47" s="3">
        <v>1</v>
      </c>
      <c r="I47" s="3">
        <v>0</v>
      </c>
      <c r="J47" s="3">
        <v>1</v>
      </c>
      <c r="K47" s="3">
        <v>1</v>
      </c>
    </row>
    <row r="48" spans="1:12" x14ac:dyDescent="0.45">
      <c r="A48">
        <f t="shared" si="1"/>
        <v>44</v>
      </c>
      <c r="B48" s="13">
        <v>146</v>
      </c>
      <c r="C48" s="6">
        <v>44</v>
      </c>
      <c r="D48" s="3">
        <v>0</v>
      </c>
      <c r="E48" s="3">
        <v>0</v>
      </c>
      <c r="F48" s="3">
        <v>1</v>
      </c>
      <c r="G48" s="3">
        <v>0</v>
      </c>
      <c r="H48" s="3">
        <v>1</v>
      </c>
      <c r="I48" s="3">
        <v>1</v>
      </c>
      <c r="J48" s="3">
        <v>0</v>
      </c>
      <c r="K48" s="3">
        <v>0</v>
      </c>
    </row>
    <row r="49" spans="1:11" x14ac:dyDescent="0.45">
      <c r="A49">
        <f t="shared" si="1"/>
        <v>45</v>
      </c>
      <c r="B49" s="13">
        <v>146</v>
      </c>
      <c r="C49" s="6">
        <v>45</v>
      </c>
      <c r="D49" s="3">
        <v>0</v>
      </c>
      <c r="E49" s="3">
        <v>0</v>
      </c>
      <c r="F49" s="3">
        <v>1</v>
      </c>
      <c r="G49" s="3">
        <v>0</v>
      </c>
      <c r="H49" s="3">
        <v>1</v>
      </c>
      <c r="I49" s="3">
        <v>1</v>
      </c>
      <c r="J49" s="3">
        <v>0</v>
      </c>
      <c r="K49" s="3">
        <v>1</v>
      </c>
    </row>
    <row r="50" spans="1:11" x14ac:dyDescent="0.45">
      <c r="A50">
        <f t="shared" si="1"/>
        <v>46</v>
      </c>
      <c r="B50" s="13">
        <v>146</v>
      </c>
      <c r="C50" s="6">
        <v>46</v>
      </c>
      <c r="D50" s="3">
        <v>0</v>
      </c>
      <c r="E50" s="3">
        <v>0</v>
      </c>
      <c r="F50" s="3">
        <v>1</v>
      </c>
      <c r="G50" s="3">
        <v>0</v>
      </c>
      <c r="H50" s="3">
        <v>1</v>
      </c>
      <c r="I50" s="3">
        <v>1</v>
      </c>
      <c r="J50" s="3">
        <v>1</v>
      </c>
      <c r="K50" s="3">
        <v>0</v>
      </c>
    </row>
    <row r="51" spans="1:11" x14ac:dyDescent="0.45">
      <c r="A51">
        <f t="shared" si="1"/>
        <v>47</v>
      </c>
      <c r="B51" s="13">
        <v>146</v>
      </c>
      <c r="C51" s="6">
        <v>47</v>
      </c>
      <c r="D51" s="3">
        <v>0</v>
      </c>
      <c r="E51" s="3">
        <v>0</v>
      </c>
      <c r="F51" s="3">
        <v>1</v>
      </c>
      <c r="G51" s="3">
        <v>0</v>
      </c>
      <c r="H51" s="3">
        <v>1</v>
      </c>
      <c r="I51" s="3">
        <v>1</v>
      </c>
      <c r="J51" s="3">
        <v>1</v>
      </c>
      <c r="K51" s="3">
        <v>1</v>
      </c>
    </row>
    <row r="52" spans="1:11" x14ac:dyDescent="0.45">
      <c r="A52">
        <f t="shared" si="1"/>
        <v>48</v>
      </c>
      <c r="B52" s="13">
        <v>146</v>
      </c>
      <c r="C52" s="6">
        <v>48</v>
      </c>
      <c r="D52" s="3">
        <v>0</v>
      </c>
      <c r="E52" s="3">
        <v>0</v>
      </c>
      <c r="F52" s="3">
        <v>1</v>
      </c>
      <c r="G52" s="3">
        <v>1</v>
      </c>
      <c r="H52" s="3">
        <v>0</v>
      </c>
      <c r="I52" s="3">
        <v>0</v>
      </c>
      <c r="J52" s="3">
        <v>0</v>
      </c>
      <c r="K52" s="3">
        <v>0</v>
      </c>
    </row>
    <row r="53" spans="1:11" x14ac:dyDescent="0.45">
      <c r="A53">
        <f t="shared" si="1"/>
        <v>49</v>
      </c>
      <c r="B53" s="13">
        <v>146</v>
      </c>
      <c r="C53" s="6">
        <v>49</v>
      </c>
      <c r="D53" s="3">
        <v>0</v>
      </c>
      <c r="E53" s="3">
        <v>0</v>
      </c>
      <c r="F53" s="3">
        <v>1</v>
      </c>
      <c r="G53" s="3">
        <v>1</v>
      </c>
      <c r="H53" s="3">
        <v>0</v>
      </c>
      <c r="I53" s="3">
        <v>0</v>
      </c>
      <c r="J53" s="3">
        <v>0</v>
      </c>
      <c r="K53" s="3">
        <v>1</v>
      </c>
    </row>
    <row r="54" spans="1:11" x14ac:dyDescent="0.45">
      <c r="A54">
        <f t="shared" si="1"/>
        <v>50</v>
      </c>
      <c r="B54" s="13">
        <v>146</v>
      </c>
      <c r="C54" s="6">
        <v>50</v>
      </c>
      <c r="D54" s="3">
        <v>0</v>
      </c>
      <c r="E54" s="3">
        <v>0</v>
      </c>
      <c r="F54" s="3">
        <v>1</v>
      </c>
      <c r="G54" s="3">
        <v>1</v>
      </c>
      <c r="H54" s="3">
        <v>0</v>
      </c>
      <c r="I54" s="3">
        <v>0</v>
      </c>
      <c r="J54" s="3">
        <v>1</v>
      </c>
      <c r="K54" s="3">
        <v>0</v>
      </c>
    </row>
    <row r="55" spans="1:11" x14ac:dyDescent="0.45">
      <c r="A55">
        <f t="shared" si="1"/>
        <v>51</v>
      </c>
      <c r="B55" s="13">
        <v>146</v>
      </c>
      <c r="C55" s="6">
        <v>51</v>
      </c>
      <c r="D55" s="3">
        <v>0</v>
      </c>
      <c r="E55" s="3">
        <v>0</v>
      </c>
      <c r="F55" s="3">
        <v>1</v>
      </c>
      <c r="G55" s="3">
        <v>1</v>
      </c>
      <c r="H55" s="3">
        <v>0</v>
      </c>
      <c r="I55" s="3">
        <v>0</v>
      </c>
      <c r="J55" s="3">
        <v>1</v>
      </c>
      <c r="K55" s="3">
        <v>1</v>
      </c>
    </row>
    <row r="56" spans="1:11" x14ac:dyDescent="0.45">
      <c r="A56">
        <f t="shared" si="1"/>
        <v>52</v>
      </c>
      <c r="B56" s="13">
        <v>146</v>
      </c>
      <c r="C56" s="6">
        <v>52</v>
      </c>
      <c r="D56" s="3">
        <v>0</v>
      </c>
      <c r="E56" s="3">
        <v>0</v>
      </c>
      <c r="F56" s="3">
        <v>1</v>
      </c>
      <c r="G56" s="3">
        <v>1</v>
      </c>
      <c r="H56" s="3">
        <v>0</v>
      </c>
      <c r="I56" s="3">
        <v>1</v>
      </c>
      <c r="J56" s="3">
        <v>0</v>
      </c>
      <c r="K56" s="3">
        <v>0</v>
      </c>
    </row>
    <row r="57" spans="1:11" x14ac:dyDescent="0.45">
      <c r="A57">
        <f t="shared" si="1"/>
        <v>53</v>
      </c>
      <c r="B57" s="13">
        <v>146</v>
      </c>
      <c r="C57" s="6">
        <v>53</v>
      </c>
      <c r="D57" s="3">
        <v>0</v>
      </c>
      <c r="E57" s="3">
        <v>0</v>
      </c>
      <c r="F57" s="3">
        <v>1</v>
      </c>
      <c r="G57" s="3">
        <v>1</v>
      </c>
      <c r="H57" s="3">
        <v>0</v>
      </c>
      <c r="I57" s="3">
        <v>1</v>
      </c>
      <c r="J57" s="3">
        <v>0</v>
      </c>
      <c r="K57" s="3">
        <v>1</v>
      </c>
    </row>
    <row r="58" spans="1:11" x14ac:dyDescent="0.45">
      <c r="A58">
        <f t="shared" si="1"/>
        <v>54</v>
      </c>
      <c r="B58" s="13">
        <v>146</v>
      </c>
      <c r="C58" s="6">
        <v>54</v>
      </c>
      <c r="D58" s="3">
        <v>0</v>
      </c>
      <c r="E58" s="3">
        <v>0</v>
      </c>
      <c r="F58" s="3">
        <v>1</v>
      </c>
      <c r="G58" s="3">
        <v>1</v>
      </c>
      <c r="H58" s="3">
        <v>0</v>
      </c>
      <c r="I58" s="3">
        <v>1</v>
      </c>
      <c r="J58" s="3">
        <v>1</v>
      </c>
      <c r="K58" s="3">
        <v>0</v>
      </c>
    </row>
    <row r="59" spans="1:11" x14ac:dyDescent="0.45">
      <c r="A59">
        <f t="shared" si="1"/>
        <v>55</v>
      </c>
      <c r="B59" s="13">
        <v>146</v>
      </c>
      <c r="C59" s="6">
        <v>55</v>
      </c>
      <c r="D59" s="3">
        <v>0</v>
      </c>
      <c r="E59" s="3">
        <v>0</v>
      </c>
      <c r="F59" s="3">
        <v>1</v>
      </c>
      <c r="G59" s="3">
        <v>1</v>
      </c>
      <c r="H59" s="3">
        <v>0</v>
      </c>
      <c r="I59" s="3">
        <v>1</v>
      </c>
      <c r="J59" s="3">
        <v>1</v>
      </c>
      <c r="K59" s="3">
        <v>1</v>
      </c>
    </row>
    <row r="60" spans="1:11" x14ac:dyDescent="0.45">
      <c r="A60">
        <f t="shared" si="1"/>
        <v>56</v>
      </c>
      <c r="B60" s="13">
        <v>146</v>
      </c>
      <c r="C60" s="6">
        <v>56</v>
      </c>
      <c r="D60" s="3">
        <v>0</v>
      </c>
      <c r="E60" s="3">
        <v>0</v>
      </c>
      <c r="F60" s="3">
        <v>1</v>
      </c>
      <c r="G60" s="3">
        <v>1</v>
      </c>
      <c r="H60" s="3">
        <v>1</v>
      </c>
      <c r="I60" s="3">
        <v>0</v>
      </c>
      <c r="J60" s="3">
        <v>0</v>
      </c>
      <c r="K60" s="3">
        <v>0</v>
      </c>
    </row>
    <row r="61" spans="1:11" x14ac:dyDescent="0.45">
      <c r="A61">
        <f t="shared" si="1"/>
        <v>57</v>
      </c>
      <c r="B61" s="13">
        <v>146</v>
      </c>
      <c r="C61" s="6">
        <v>57</v>
      </c>
      <c r="D61" s="3">
        <v>0</v>
      </c>
      <c r="E61" s="3">
        <v>0</v>
      </c>
      <c r="F61" s="3">
        <v>1</v>
      </c>
      <c r="G61" s="3">
        <v>1</v>
      </c>
      <c r="H61" s="3">
        <v>1</v>
      </c>
      <c r="I61" s="3">
        <v>0</v>
      </c>
      <c r="J61" s="3">
        <v>0</v>
      </c>
      <c r="K61" s="3">
        <v>1</v>
      </c>
    </row>
    <row r="62" spans="1:11" x14ac:dyDescent="0.45">
      <c r="A62">
        <f t="shared" si="1"/>
        <v>58</v>
      </c>
      <c r="B62" s="13">
        <v>146</v>
      </c>
      <c r="C62" s="6">
        <v>58</v>
      </c>
      <c r="D62" s="3">
        <v>0</v>
      </c>
      <c r="E62" s="3">
        <v>0</v>
      </c>
      <c r="F62" s="3">
        <v>1</v>
      </c>
      <c r="G62" s="3">
        <v>1</v>
      </c>
      <c r="H62" s="3">
        <v>1</v>
      </c>
      <c r="I62" s="3">
        <v>0</v>
      </c>
      <c r="J62" s="3">
        <v>1</v>
      </c>
      <c r="K62" s="3">
        <v>0</v>
      </c>
    </row>
    <row r="63" spans="1:11" x14ac:dyDescent="0.45">
      <c r="A63">
        <f t="shared" si="1"/>
        <v>59</v>
      </c>
      <c r="B63" s="13">
        <v>146</v>
      </c>
      <c r="C63" s="6">
        <v>59</v>
      </c>
      <c r="D63" s="3">
        <v>0</v>
      </c>
      <c r="E63" s="3">
        <v>0</v>
      </c>
      <c r="F63" s="3">
        <v>1</v>
      </c>
      <c r="G63" s="3">
        <v>1</v>
      </c>
      <c r="H63" s="3">
        <v>1</v>
      </c>
      <c r="I63" s="3">
        <v>0</v>
      </c>
      <c r="J63" s="3">
        <v>1</v>
      </c>
      <c r="K63" s="3">
        <v>1</v>
      </c>
    </row>
    <row r="64" spans="1:11" x14ac:dyDescent="0.45">
      <c r="A64">
        <f t="shared" si="1"/>
        <v>60</v>
      </c>
      <c r="B64" s="13">
        <v>146</v>
      </c>
      <c r="C64" s="6">
        <v>60</v>
      </c>
      <c r="D64" s="3">
        <v>0</v>
      </c>
      <c r="E64" s="3">
        <v>0</v>
      </c>
      <c r="F64" s="3">
        <v>1</v>
      </c>
      <c r="G64" s="3">
        <v>1</v>
      </c>
      <c r="H64" s="3">
        <v>1</v>
      </c>
      <c r="I64" s="3">
        <v>1</v>
      </c>
      <c r="J64" s="3">
        <v>0</v>
      </c>
      <c r="K64" s="3">
        <v>0</v>
      </c>
    </row>
    <row r="65" spans="1:11" x14ac:dyDescent="0.45">
      <c r="A65">
        <f t="shared" si="1"/>
        <v>61</v>
      </c>
      <c r="B65" s="13">
        <v>146</v>
      </c>
      <c r="C65" s="6">
        <v>61</v>
      </c>
      <c r="D65" s="3">
        <v>0</v>
      </c>
      <c r="E65" s="3">
        <v>0</v>
      </c>
      <c r="F65" s="3">
        <v>1</v>
      </c>
      <c r="G65" s="3">
        <v>1</v>
      </c>
      <c r="H65" s="3">
        <v>1</v>
      </c>
      <c r="I65" s="3">
        <v>1</v>
      </c>
      <c r="J65" s="3">
        <v>0</v>
      </c>
      <c r="K65" s="3">
        <v>1</v>
      </c>
    </row>
    <row r="66" spans="1:11" x14ac:dyDescent="0.45">
      <c r="A66">
        <f t="shared" si="1"/>
        <v>62</v>
      </c>
      <c r="B66" s="13">
        <v>146</v>
      </c>
      <c r="C66" s="6">
        <v>62</v>
      </c>
      <c r="D66" s="3">
        <v>0</v>
      </c>
      <c r="E66" s="3">
        <v>0</v>
      </c>
      <c r="F66" s="3">
        <v>1</v>
      </c>
      <c r="G66" s="3">
        <v>1</v>
      </c>
      <c r="H66" s="3">
        <v>1</v>
      </c>
      <c r="I66" s="3">
        <v>1</v>
      </c>
      <c r="J66" s="3">
        <v>1</v>
      </c>
      <c r="K66" s="3">
        <v>0</v>
      </c>
    </row>
    <row r="67" spans="1:11" x14ac:dyDescent="0.45">
      <c r="A67">
        <f t="shared" si="1"/>
        <v>63</v>
      </c>
      <c r="B67" s="13">
        <v>146</v>
      </c>
      <c r="C67" s="6">
        <v>63</v>
      </c>
      <c r="D67" s="3">
        <v>0</v>
      </c>
      <c r="E67" s="3">
        <v>0</v>
      </c>
      <c r="F67" s="3">
        <v>1</v>
      </c>
      <c r="G67" s="3">
        <v>1</v>
      </c>
      <c r="H67" s="3">
        <v>1</v>
      </c>
      <c r="I67" s="3">
        <v>1</v>
      </c>
      <c r="J67" s="3">
        <v>1</v>
      </c>
      <c r="K67" s="3">
        <v>1</v>
      </c>
    </row>
    <row r="68" spans="1:11" x14ac:dyDescent="0.45">
      <c r="A68" s="11">
        <f t="shared" ref="A68:A131" si="2">D68*2^$D$3+E68*2^$E$3+F68*2^$F$3+G68*2^$G$3+H68*2^$H$3+I68*2^$I$3+J68*2^$J$3+K68*2^$K$3</f>
        <v>64</v>
      </c>
      <c r="B68" s="13">
        <v>146</v>
      </c>
      <c r="C68" s="12">
        <v>96</v>
      </c>
      <c r="D68" s="14">
        <v>0</v>
      </c>
      <c r="E68" s="14">
        <v>1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</row>
    <row r="69" spans="1:11" x14ac:dyDescent="0.45">
      <c r="A69">
        <f t="shared" si="2"/>
        <v>65</v>
      </c>
      <c r="B69" s="13">
        <v>146</v>
      </c>
      <c r="C69" s="1">
        <v>97</v>
      </c>
      <c r="D69" s="3">
        <v>0</v>
      </c>
      <c r="E69" s="3">
        <v>1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>
        <v>1</v>
      </c>
    </row>
    <row r="70" spans="1:11" x14ac:dyDescent="0.45">
      <c r="A70">
        <f t="shared" si="2"/>
        <v>66</v>
      </c>
      <c r="B70" s="13">
        <v>146</v>
      </c>
      <c r="C70" s="1">
        <v>98</v>
      </c>
      <c r="D70" s="3">
        <v>0</v>
      </c>
      <c r="E70" s="3">
        <v>1</v>
      </c>
      <c r="F70" s="3">
        <v>0</v>
      </c>
      <c r="G70" s="3">
        <v>0</v>
      </c>
      <c r="H70" s="3">
        <v>0</v>
      </c>
      <c r="I70" s="3">
        <v>0</v>
      </c>
      <c r="J70" s="3">
        <v>1</v>
      </c>
      <c r="K70" s="3">
        <v>0</v>
      </c>
    </row>
    <row r="71" spans="1:11" x14ac:dyDescent="0.45">
      <c r="A71">
        <f t="shared" si="2"/>
        <v>67</v>
      </c>
      <c r="B71" s="13">
        <v>146</v>
      </c>
      <c r="C71" s="1">
        <v>99</v>
      </c>
      <c r="D71" s="3">
        <v>0</v>
      </c>
      <c r="E71" s="3">
        <v>1</v>
      </c>
      <c r="F71" s="3">
        <v>0</v>
      </c>
      <c r="G71" s="3">
        <v>0</v>
      </c>
      <c r="H71" s="3">
        <v>0</v>
      </c>
      <c r="I71" s="3">
        <v>0</v>
      </c>
      <c r="J71" s="3">
        <v>1</v>
      </c>
      <c r="K71" s="3">
        <v>1</v>
      </c>
    </row>
    <row r="72" spans="1:11" x14ac:dyDescent="0.45">
      <c r="A72">
        <f t="shared" si="2"/>
        <v>68</v>
      </c>
      <c r="B72" s="13">
        <v>146</v>
      </c>
      <c r="C72" s="1">
        <v>100</v>
      </c>
      <c r="D72" s="3">
        <v>0</v>
      </c>
      <c r="E72" s="3">
        <v>1</v>
      </c>
      <c r="F72" s="3">
        <v>0</v>
      </c>
      <c r="G72" s="3">
        <v>0</v>
      </c>
      <c r="H72" s="3">
        <v>0</v>
      </c>
      <c r="I72" s="3">
        <v>1</v>
      </c>
      <c r="J72" s="3">
        <v>0</v>
      </c>
      <c r="K72" s="3">
        <v>0</v>
      </c>
    </row>
    <row r="73" spans="1:11" x14ac:dyDescent="0.45">
      <c r="A73">
        <f t="shared" si="2"/>
        <v>69</v>
      </c>
      <c r="B73" s="13">
        <v>146</v>
      </c>
      <c r="C73" s="1">
        <v>101</v>
      </c>
      <c r="D73" s="3">
        <v>0</v>
      </c>
      <c r="E73" s="3">
        <v>1</v>
      </c>
      <c r="F73" s="3">
        <v>0</v>
      </c>
      <c r="G73" s="3">
        <v>0</v>
      </c>
      <c r="H73" s="3">
        <v>0</v>
      </c>
      <c r="I73" s="3">
        <v>1</v>
      </c>
      <c r="J73" s="3">
        <v>0</v>
      </c>
      <c r="K73" s="3">
        <v>1</v>
      </c>
    </row>
    <row r="74" spans="1:11" x14ac:dyDescent="0.45">
      <c r="A74">
        <f t="shared" si="2"/>
        <v>70</v>
      </c>
      <c r="B74" s="13">
        <v>146</v>
      </c>
      <c r="C74" s="1">
        <v>102</v>
      </c>
      <c r="D74" s="3">
        <v>0</v>
      </c>
      <c r="E74" s="3">
        <v>1</v>
      </c>
      <c r="F74" s="3">
        <v>0</v>
      </c>
      <c r="G74" s="3">
        <v>0</v>
      </c>
      <c r="H74" s="3">
        <v>0</v>
      </c>
      <c r="I74" s="3">
        <v>1</v>
      </c>
      <c r="J74" s="3">
        <v>1</v>
      </c>
      <c r="K74" s="3">
        <v>0</v>
      </c>
    </row>
    <row r="75" spans="1:11" x14ac:dyDescent="0.45">
      <c r="A75">
        <f t="shared" si="2"/>
        <v>71</v>
      </c>
      <c r="B75" s="13">
        <v>146</v>
      </c>
      <c r="C75" s="1">
        <v>103</v>
      </c>
      <c r="D75" s="3">
        <v>0</v>
      </c>
      <c r="E75" s="3">
        <v>1</v>
      </c>
      <c r="F75" s="3">
        <v>0</v>
      </c>
      <c r="G75" s="3">
        <v>0</v>
      </c>
      <c r="H75" s="3">
        <v>0</v>
      </c>
      <c r="I75" s="3">
        <v>1</v>
      </c>
      <c r="J75" s="3">
        <v>1</v>
      </c>
      <c r="K75" s="3">
        <v>1</v>
      </c>
    </row>
    <row r="76" spans="1:11" x14ac:dyDescent="0.45">
      <c r="A76">
        <f t="shared" si="2"/>
        <v>72</v>
      </c>
      <c r="B76" s="13">
        <v>146</v>
      </c>
      <c r="C76" s="1">
        <v>104</v>
      </c>
      <c r="D76" s="3">
        <v>0</v>
      </c>
      <c r="E76" s="3">
        <v>1</v>
      </c>
      <c r="F76" s="3">
        <v>0</v>
      </c>
      <c r="G76" s="3">
        <v>0</v>
      </c>
      <c r="H76" s="3">
        <v>1</v>
      </c>
      <c r="I76" s="3">
        <v>0</v>
      </c>
      <c r="J76" s="3">
        <v>0</v>
      </c>
      <c r="K76" s="3">
        <v>0</v>
      </c>
    </row>
    <row r="77" spans="1:11" x14ac:dyDescent="0.45">
      <c r="A77">
        <f t="shared" si="2"/>
        <v>73</v>
      </c>
      <c r="B77" s="13">
        <v>146</v>
      </c>
      <c r="C77" s="1">
        <v>105</v>
      </c>
      <c r="D77" s="3">
        <v>0</v>
      </c>
      <c r="E77" s="3">
        <v>1</v>
      </c>
      <c r="F77" s="3">
        <v>0</v>
      </c>
      <c r="G77" s="3">
        <v>0</v>
      </c>
      <c r="H77" s="3">
        <v>1</v>
      </c>
      <c r="I77" s="3">
        <v>0</v>
      </c>
      <c r="J77" s="3">
        <v>0</v>
      </c>
      <c r="K77" s="3">
        <v>1</v>
      </c>
    </row>
    <row r="78" spans="1:11" x14ac:dyDescent="0.45">
      <c r="A78">
        <f t="shared" si="2"/>
        <v>74</v>
      </c>
      <c r="B78" s="13">
        <v>146</v>
      </c>
      <c r="C78" s="1">
        <v>106</v>
      </c>
      <c r="D78" s="3">
        <v>0</v>
      </c>
      <c r="E78" s="3">
        <v>1</v>
      </c>
      <c r="F78" s="3">
        <v>0</v>
      </c>
      <c r="G78" s="3">
        <v>0</v>
      </c>
      <c r="H78" s="3">
        <v>1</v>
      </c>
      <c r="I78" s="3">
        <v>0</v>
      </c>
      <c r="J78" s="3">
        <v>1</v>
      </c>
      <c r="K78" s="3">
        <v>0</v>
      </c>
    </row>
    <row r="79" spans="1:11" x14ac:dyDescent="0.45">
      <c r="A79">
        <f t="shared" si="2"/>
        <v>75</v>
      </c>
      <c r="B79" s="13">
        <v>146</v>
      </c>
      <c r="C79" s="1">
        <v>107</v>
      </c>
      <c r="D79" s="3">
        <v>0</v>
      </c>
      <c r="E79" s="3">
        <v>1</v>
      </c>
      <c r="F79" s="3">
        <v>0</v>
      </c>
      <c r="G79" s="3">
        <v>0</v>
      </c>
      <c r="H79" s="3">
        <v>1</v>
      </c>
      <c r="I79" s="3">
        <v>0</v>
      </c>
      <c r="J79" s="3">
        <v>1</v>
      </c>
      <c r="K79" s="3">
        <v>1</v>
      </c>
    </row>
    <row r="80" spans="1:11" x14ac:dyDescent="0.45">
      <c r="A80">
        <f t="shared" si="2"/>
        <v>76</v>
      </c>
      <c r="B80" s="13">
        <v>146</v>
      </c>
      <c r="C80" s="1">
        <v>108</v>
      </c>
      <c r="D80" s="3">
        <v>0</v>
      </c>
      <c r="E80" s="3">
        <v>1</v>
      </c>
      <c r="F80" s="3">
        <v>0</v>
      </c>
      <c r="G80" s="3">
        <v>0</v>
      </c>
      <c r="H80" s="3">
        <v>1</v>
      </c>
      <c r="I80" s="3">
        <v>1</v>
      </c>
      <c r="J80" s="3">
        <v>0</v>
      </c>
      <c r="K80" s="3">
        <v>0</v>
      </c>
    </row>
    <row r="81" spans="1:11" x14ac:dyDescent="0.45">
      <c r="A81">
        <f t="shared" si="2"/>
        <v>77</v>
      </c>
      <c r="B81" s="13">
        <v>146</v>
      </c>
      <c r="C81" s="1">
        <v>109</v>
      </c>
      <c r="D81" s="3">
        <v>0</v>
      </c>
      <c r="E81" s="3">
        <v>1</v>
      </c>
      <c r="F81" s="3">
        <v>0</v>
      </c>
      <c r="G81" s="3">
        <v>0</v>
      </c>
      <c r="H81" s="3">
        <v>1</v>
      </c>
      <c r="I81" s="3">
        <v>1</v>
      </c>
      <c r="J81" s="3">
        <v>0</v>
      </c>
      <c r="K81" s="3">
        <v>1</v>
      </c>
    </row>
    <row r="82" spans="1:11" x14ac:dyDescent="0.45">
      <c r="A82">
        <f t="shared" si="2"/>
        <v>78</v>
      </c>
      <c r="B82" s="13">
        <v>146</v>
      </c>
      <c r="C82" s="1">
        <v>110</v>
      </c>
      <c r="D82" s="3">
        <v>0</v>
      </c>
      <c r="E82" s="3">
        <v>1</v>
      </c>
      <c r="F82" s="3">
        <v>0</v>
      </c>
      <c r="G82" s="3">
        <v>0</v>
      </c>
      <c r="H82" s="3">
        <v>1</v>
      </c>
      <c r="I82" s="3">
        <v>1</v>
      </c>
      <c r="J82" s="3">
        <v>1</v>
      </c>
      <c r="K82" s="3">
        <v>0</v>
      </c>
    </row>
    <row r="83" spans="1:11" x14ac:dyDescent="0.45">
      <c r="A83">
        <f t="shared" si="2"/>
        <v>79</v>
      </c>
      <c r="B83" s="13">
        <v>146</v>
      </c>
      <c r="C83" s="1">
        <v>111</v>
      </c>
      <c r="D83" s="3">
        <v>0</v>
      </c>
      <c r="E83" s="3">
        <v>1</v>
      </c>
      <c r="F83" s="3">
        <v>0</v>
      </c>
      <c r="G83" s="3">
        <v>0</v>
      </c>
      <c r="H83" s="3">
        <v>1</v>
      </c>
      <c r="I83" s="3">
        <v>1</v>
      </c>
      <c r="J83" s="3">
        <v>1</v>
      </c>
      <c r="K83" s="3">
        <v>1</v>
      </c>
    </row>
    <row r="84" spans="1:11" x14ac:dyDescent="0.45">
      <c r="A84">
        <f t="shared" si="2"/>
        <v>80</v>
      </c>
      <c r="B84" s="13">
        <v>146</v>
      </c>
      <c r="C84" s="1">
        <v>112</v>
      </c>
      <c r="D84" s="3">
        <v>0</v>
      </c>
      <c r="E84" s="3">
        <v>1</v>
      </c>
      <c r="F84" s="3">
        <v>0</v>
      </c>
      <c r="G84" s="3">
        <v>1</v>
      </c>
      <c r="H84" s="3">
        <v>0</v>
      </c>
      <c r="I84" s="3">
        <v>0</v>
      </c>
      <c r="J84" s="3">
        <v>0</v>
      </c>
      <c r="K84" s="3">
        <v>0</v>
      </c>
    </row>
    <row r="85" spans="1:11" x14ac:dyDescent="0.45">
      <c r="A85">
        <f t="shared" si="2"/>
        <v>81</v>
      </c>
      <c r="B85" s="13">
        <v>146</v>
      </c>
      <c r="C85" s="1">
        <v>113</v>
      </c>
      <c r="D85" s="3">
        <v>0</v>
      </c>
      <c r="E85" s="3">
        <v>1</v>
      </c>
      <c r="F85" s="3">
        <v>0</v>
      </c>
      <c r="G85" s="3">
        <v>1</v>
      </c>
      <c r="H85" s="3">
        <v>0</v>
      </c>
      <c r="I85" s="3">
        <v>0</v>
      </c>
      <c r="J85" s="3">
        <v>0</v>
      </c>
      <c r="K85" s="3">
        <v>1</v>
      </c>
    </row>
    <row r="86" spans="1:11" x14ac:dyDescent="0.45">
      <c r="A86">
        <f t="shared" si="2"/>
        <v>82</v>
      </c>
      <c r="B86" s="13">
        <v>146</v>
      </c>
      <c r="C86" s="1">
        <v>114</v>
      </c>
      <c r="D86" s="3">
        <v>0</v>
      </c>
      <c r="E86" s="3">
        <v>1</v>
      </c>
      <c r="F86" s="3">
        <v>0</v>
      </c>
      <c r="G86" s="3">
        <v>1</v>
      </c>
      <c r="H86" s="3">
        <v>0</v>
      </c>
      <c r="I86" s="3">
        <v>0</v>
      </c>
      <c r="J86" s="3">
        <v>1</v>
      </c>
      <c r="K86" s="3">
        <v>0</v>
      </c>
    </row>
    <row r="87" spans="1:11" x14ac:dyDescent="0.45">
      <c r="A87">
        <f t="shared" si="2"/>
        <v>83</v>
      </c>
      <c r="B87" s="13">
        <v>146</v>
      </c>
      <c r="C87" s="1">
        <v>115</v>
      </c>
      <c r="D87" s="3">
        <v>0</v>
      </c>
      <c r="E87" s="3">
        <v>1</v>
      </c>
      <c r="F87" s="3">
        <v>0</v>
      </c>
      <c r="G87" s="3">
        <v>1</v>
      </c>
      <c r="H87" s="3">
        <v>0</v>
      </c>
      <c r="I87" s="3">
        <v>0</v>
      </c>
      <c r="J87" s="3">
        <v>1</v>
      </c>
      <c r="K87" s="3">
        <v>1</v>
      </c>
    </row>
    <row r="88" spans="1:11" x14ac:dyDescent="0.45">
      <c r="A88">
        <f t="shared" si="2"/>
        <v>84</v>
      </c>
      <c r="B88" s="13">
        <v>146</v>
      </c>
      <c r="C88" s="1">
        <v>116</v>
      </c>
      <c r="D88" s="3">
        <v>0</v>
      </c>
      <c r="E88" s="3">
        <v>1</v>
      </c>
      <c r="F88" s="3">
        <v>0</v>
      </c>
      <c r="G88" s="3">
        <v>1</v>
      </c>
      <c r="H88" s="3">
        <v>0</v>
      </c>
      <c r="I88" s="3">
        <v>1</v>
      </c>
      <c r="J88" s="3">
        <v>0</v>
      </c>
      <c r="K88" s="3">
        <v>0</v>
      </c>
    </row>
    <row r="89" spans="1:11" x14ac:dyDescent="0.45">
      <c r="A89">
        <f t="shared" si="2"/>
        <v>85</v>
      </c>
      <c r="B89" s="13">
        <v>146</v>
      </c>
      <c r="C89" s="1">
        <v>117</v>
      </c>
      <c r="D89" s="3">
        <v>0</v>
      </c>
      <c r="E89" s="3">
        <v>1</v>
      </c>
      <c r="F89" s="3">
        <v>0</v>
      </c>
      <c r="G89" s="3">
        <v>1</v>
      </c>
      <c r="H89" s="3">
        <v>0</v>
      </c>
      <c r="I89" s="3">
        <v>1</v>
      </c>
      <c r="J89" s="3">
        <v>0</v>
      </c>
      <c r="K89" s="3">
        <v>1</v>
      </c>
    </row>
    <row r="90" spans="1:11" x14ac:dyDescent="0.45">
      <c r="A90">
        <f t="shared" si="2"/>
        <v>86</v>
      </c>
      <c r="B90" s="13">
        <v>146</v>
      </c>
      <c r="C90" s="1">
        <v>118</v>
      </c>
      <c r="D90" s="3">
        <v>0</v>
      </c>
      <c r="E90" s="3">
        <v>1</v>
      </c>
      <c r="F90" s="3">
        <v>0</v>
      </c>
      <c r="G90" s="3">
        <v>1</v>
      </c>
      <c r="H90" s="3">
        <v>0</v>
      </c>
      <c r="I90" s="3">
        <v>1</v>
      </c>
      <c r="J90" s="3">
        <v>1</v>
      </c>
      <c r="K90" s="3">
        <v>0</v>
      </c>
    </row>
    <row r="91" spans="1:11" x14ac:dyDescent="0.45">
      <c r="A91">
        <f t="shared" si="2"/>
        <v>87</v>
      </c>
      <c r="B91" s="13">
        <v>146</v>
      </c>
      <c r="C91" s="1">
        <v>119</v>
      </c>
      <c r="D91" s="3">
        <v>0</v>
      </c>
      <c r="E91" s="3">
        <v>1</v>
      </c>
      <c r="F91" s="3">
        <v>0</v>
      </c>
      <c r="G91" s="3">
        <v>1</v>
      </c>
      <c r="H91" s="3">
        <v>0</v>
      </c>
      <c r="I91" s="3">
        <v>1</v>
      </c>
      <c r="J91" s="3">
        <v>1</v>
      </c>
      <c r="K91" s="3">
        <v>1</v>
      </c>
    </row>
    <row r="92" spans="1:11" x14ac:dyDescent="0.45">
      <c r="A92">
        <f t="shared" si="2"/>
        <v>88</v>
      </c>
      <c r="B92" s="13">
        <v>146</v>
      </c>
      <c r="C92" s="1">
        <v>120</v>
      </c>
      <c r="D92" s="3">
        <v>0</v>
      </c>
      <c r="E92" s="3">
        <v>1</v>
      </c>
      <c r="F92" s="3">
        <v>0</v>
      </c>
      <c r="G92" s="3">
        <v>1</v>
      </c>
      <c r="H92" s="3">
        <v>1</v>
      </c>
      <c r="I92" s="3">
        <v>0</v>
      </c>
      <c r="J92" s="3">
        <v>0</v>
      </c>
      <c r="K92" s="3">
        <v>0</v>
      </c>
    </row>
    <row r="93" spans="1:11" x14ac:dyDescent="0.45">
      <c r="A93">
        <f t="shared" si="2"/>
        <v>89</v>
      </c>
      <c r="B93" s="13">
        <v>146</v>
      </c>
      <c r="C93" s="1">
        <v>121</v>
      </c>
      <c r="D93" s="3">
        <v>0</v>
      </c>
      <c r="E93" s="3">
        <v>1</v>
      </c>
      <c r="F93" s="3">
        <v>0</v>
      </c>
      <c r="G93" s="3">
        <v>1</v>
      </c>
      <c r="H93" s="3">
        <v>1</v>
      </c>
      <c r="I93" s="3">
        <v>0</v>
      </c>
      <c r="J93" s="3">
        <v>0</v>
      </c>
      <c r="K93" s="3">
        <v>1</v>
      </c>
    </row>
    <row r="94" spans="1:11" x14ac:dyDescent="0.45">
      <c r="A94">
        <f t="shared" si="2"/>
        <v>90</v>
      </c>
      <c r="B94" s="13">
        <v>146</v>
      </c>
      <c r="C94" s="1">
        <v>122</v>
      </c>
      <c r="D94" s="3">
        <v>0</v>
      </c>
      <c r="E94" s="3">
        <v>1</v>
      </c>
      <c r="F94" s="3">
        <v>0</v>
      </c>
      <c r="G94" s="3">
        <v>1</v>
      </c>
      <c r="H94" s="3">
        <v>1</v>
      </c>
      <c r="I94" s="3">
        <v>0</v>
      </c>
      <c r="J94" s="3">
        <v>1</v>
      </c>
      <c r="K94" s="3">
        <v>0</v>
      </c>
    </row>
    <row r="95" spans="1:11" x14ac:dyDescent="0.45">
      <c r="A95">
        <f t="shared" si="2"/>
        <v>91</v>
      </c>
      <c r="B95" s="13">
        <v>146</v>
      </c>
      <c r="C95" s="1">
        <v>123</v>
      </c>
      <c r="D95" s="3">
        <v>0</v>
      </c>
      <c r="E95" s="3">
        <v>1</v>
      </c>
      <c r="F95" s="3">
        <v>0</v>
      </c>
      <c r="G95" s="3">
        <v>1</v>
      </c>
      <c r="H95" s="3">
        <v>1</v>
      </c>
      <c r="I95" s="3">
        <v>0</v>
      </c>
      <c r="J95" s="3">
        <v>1</v>
      </c>
      <c r="K95" s="3">
        <v>1</v>
      </c>
    </row>
    <row r="96" spans="1:11" x14ac:dyDescent="0.45">
      <c r="A96">
        <f t="shared" si="2"/>
        <v>92</v>
      </c>
      <c r="B96" s="13">
        <v>146</v>
      </c>
      <c r="C96" s="1">
        <v>124</v>
      </c>
      <c r="D96" s="3">
        <v>0</v>
      </c>
      <c r="E96" s="3">
        <v>1</v>
      </c>
      <c r="F96" s="3">
        <v>0</v>
      </c>
      <c r="G96" s="3">
        <v>1</v>
      </c>
      <c r="H96" s="3">
        <v>1</v>
      </c>
      <c r="I96" s="3">
        <v>1</v>
      </c>
      <c r="J96" s="3">
        <v>0</v>
      </c>
      <c r="K96" s="3">
        <v>0</v>
      </c>
    </row>
    <row r="97" spans="1:11" x14ac:dyDescent="0.45">
      <c r="A97">
        <f t="shared" si="2"/>
        <v>93</v>
      </c>
      <c r="B97" s="13">
        <v>146</v>
      </c>
      <c r="C97" s="1">
        <v>125</v>
      </c>
      <c r="D97" s="3">
        <v>0</v>
      </c>
      <c r="E97" s="3">
        <v>1</v>
      </c>
      <c r="F97" s="3">
        <v>0</v>
      </c>
      <c r="G97" s="3">
        <v>1</v>
      </c>
      <c r="H97" s="3">
        <v>1</v>
      </c>
      <c r="I97" s="3">
        <v>1</v>
      </c>
      <c r="J97" s="3">
        <v>0</v>
      </c>
      <c r="K97" s="3">
        <v>1</v>
      </c>
    </row>
    <row r="98" spans="1:11" x14ac:dyDescent="0.45">
      <c r="A98">
        <f t="shared" si="2"/>
        <v>94</v>
      </c>
      <c r="B98" s="13">
        <v>146</v>
      </c>
      <c r="C98" s="1">
        <v>126</v>
      </c>
      <c r="D98" s="3">
        <v>0</v>
      </c>
      <c r="E98" s="3">
        <v>1</v>
      </c>
      <c r="F98" s="3">
        <v>0</v>
      </c>
      <c r="G98" s="3">
        <v>1</v>
      </c>
      <c r="H98" s="3">
        <v>1</v>
      </c>
      <c r="I98" s="3">
        <v>1</v>
      </c>
      <c r="J98" s="3">
        <v>1</v>
      </c>
      <c r="K98" s="3">
        <v>0</v>
      </c>
    </row>
    <row r="99" spans="1:11" x14ac:dyDescent="0.45">
      <c r="A99">
        <f t="shared" si="2"/>
        <v>95</v>
      </c>
      <c r="B99" s="13">
        <v>146</v>
      </c>
      <c r="C99" s="1">
        <v>127</v>
      </c>
      <c r="D99" s="3">
        <v>0</v>
      </c>
      <c r="E99" s="3">
        <v>1</v>
      </c>
      <c r="F99" s="3">
        <v>0</v>
      </c>
      <c r="G99" s="3">
        <v>1</v>
      </c>
      <c r="H99" s="3">
        <v>1</v>
      </c>
      <c r="I99" s="3">
        <v>1</v>
      </c>
      <c r="J99" s="3">
        <v>1</v>
      </c>
      <c r="K99" s="3">
        <v>1</v>
      </c>
    </row>
    <row r="100" spans="1:11" x14ac:dyDescent="0.45">
      <c r="A100" s="8">
        <f t="shared" si="2"/>
        <v>96</v>
      </c>
      <c r="B100" s="13">
        <v>146</v>
      </c>
      <c r="C100" s="9">
        <v>160</v>
      </c>
      <c r="D100" s="10">
        <v>0</v>
      </c>
      <c r="E100" s="10">
        <v>1</v>
      </c>
      <c r="F100" s="10">
        <v>1</v>
      </c>
      <c r="G100" s="10">
        <v>0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45">
      <c r="A101">
        <f t="shared" si="2"/>
        <v>97</v>
      </c>
      <c r="B101" s="13">
        <v>146</v>
      </c>
      <c r="C101" s="6">
        <v>161</v>
      </c>
      <c r="D101" s="3">
        <v>0</v>
      </c>
      <c r="E101" s="3">
        <v>1</v>
      </c>
      <c r="F101" s="3">
        <v>1</v>
      </c>
      <c r="G101" s="3">
        <v>0</v>
      </c>
      <c r="H101" s="3">
        <v>0</v>
      </c>
      <c r="I101" s="3">
        <v>0</v>
      </c>
      <c r="J101" s="3">
        <v>0</v>
      </c>
      <c r="K101" s="3">
        <v>1</v>
      </c>
    </row>
    <row r="102" spans="1:11" x14ac:dyDescent="0.45">
      <c r="A102">
        <f t="shared" si="2"/>
        <v>98</v>
      </c>
      <c r="B102" s="13">
        <v>146</v>
      </c>
      <c r="C102" s="6">
        <v>162</v>
      </c>
      <c r="D102" s="3">
        <v>0</v>
      </c>
      <c r="E102" s="3">
        <v>1</v>
      </c>
      <c r="F102" s="3">
        <v>1</v>
      </c>
      <c r="G102" s="3">
        <v>0</v>
      </c>
      <c r="H102" s="3">
        <v>0</v>
      </c>
      <c r="I102" s="3">
        <v>0</v>
      </c>
      <c r="J102" s="3">
        <v>1</v>
      </c>
      <c r="K102" s="3">
        <v>0</v>
      </c>
    </row>
    <row r="103" spans="1:11" x14ac:dyDescent="0.45">
      <c r="A103">
        <f t="shared" si="2"/>
        <v>99</v>
      </c>
      <c r="B103" s="13">
        <v>146</v>
      </c>
      <c r="C103" s="6">
        <v>163</v>
      </c>
      <c r="D103" s="3">
        <v>0</v>
      </c>
      <c r="E103" s="3">
        <v>1</v>
      </c>
      <c r="F103" s="3">
        <v>1</v>
      </c>
      <c r="G103" s="3">
        <v>0</v>
      </c>
      <c r="H103" s="3">
        <v>0</v>
      </c>
      <c r="I103" s="3">
        <v>0</v>
      </c>
      <c r="J103" s="3">
        <v>1</v>
      </c>
      <c r="K103" s="3">
        <v>1</v>
      </c>
    </row>
    <row r="104" spans="1:11" x14ac:dyDescent="0.45">
      <c r="A104">
        <f t="shared" si="2"/>
        <v>100</v>
      </c>
      <c r="B104" s="13">
        <v>146</v>
      </c>
      <c r="C104" s="6">
        <v>164</v>
      </c>
      <c r="D104" s="3">
        <v>0</v>
      </c>
      <c r="E104" s="3">
        <v>1</v>
      </c>
      <c r="F104" s="3">
        <v>1</v>
      </c>
      <c r="G104" s="3">
        <v>0</v>
      </c>
      <c r="H104" s="3">
        <v>0</v>
      </c>
      <c r="I104" s="3">
        <v>1</v>
      </c>
      <c r="J104" s="3">
        <v>0</v>
      </c>
      <c r="K104" s="3">
        <v>0</v>
      </c>
    </row>
    <row r="105" spans="1:11" x14ac:dyDescent="0.45">
      <c r="A105">
        <f t="shared" si="2"/>
        <v>101</v>
      </c>
      <c r="B105" s="13">
        <v>146</v>
      </c>
      <c r="C105" s="6">
        <v>165</v>
      </c>
      <c r="D105" s="3">
        <v>0</v>
      </c>
      <c r="E105" s="3">
        <v>1</v>
      </c>
      <c r="F105" s="3">
        <v>1</v>
      </c>
      <c r="G105" s="3">
        <v>0</v>
      </c>
      <c r="H105" s="3">
        <v>0</v>
      </c>
      <c r="I105" s="3">
        <v>1</v>
      </c>
      <c r="J105" s="3">
        <v>0</v>
      </c>
      <c r="K105" s="3">
        <v>1</v>
      </c>
    </row>
    <row r="106" spans="1:11" x14ac:dyDescent="0.45">
      <c r="A106">
        <f t="shared" si="2"/>
        <v>102</v>
      </c>
      <c r="B106" s="13">
        <v>146</v>
      </c>
      <c r="C106" s="6">
        <v>166</v>
      </c>
      <c r="D106" s="3">
        <v>0</v>
      </c>
      <c r="E106" s="3">
        <v>1</v>
      </c>
      <c r="F106" s="3">
        <v>1</v>
      </c>
      <c r="G106" s="3">
        <v>0</v>
      </c>
      <c r="H106" s="3">
        <v>0</v>
      </c>
      <c r="I106" s="3">
        <v>1</v>
      </c>
      <c r="J106" s="3">
        <v>1</v>
      </c>
      <c r="K106" s="3">
        <v>0</v>
      </c>
    </row>
    <row r="107" spans="1:11" x14ac:dyDescent="0.45">
      <c r="A107">
        <f t="shared" si="2"/>
        <v>103</v>
      </c>
      <c r="B107" s="13">
        <v>146</v>
      </c>
      <c r="C107" s="6">
        <v>167</v>
      </c>
      <c r="D107" s="3">
        <v>0</v>
      </c>
      <c r="E107" s="3">
        <v>1</v>
      </c>
      <c r="F107" s="3">
        <v>1</v>
      </c>
      <c r="G107" s="3">
        <v>0</v>
      </c>
      <c r="H107" s="3">
        <v>0</v>
      </c>
      <c r="I107" s="3">
        <v>1</v>
      </c>
      <c r="J107" s="3">
        <v>1</v>
      </c>
      <c r="K107" s="3">
        <v>1</v>
      </c>
    </row>
    <row r="108" spans="1:11" x14ac:dyDescent="0.45">
      <c r="A108">
        <f t="shared" si="2"/>
        <v>104</v>
      </c>
      <c r="B108" s="13">
        <v>146</v>
      </c>
      <c r="C108" s="6">
        <v>168</v>
      </c>
      <c r="D108" s="3">
        <v>0</v>
      </c>
      <c r="E108" s="3">
        <v>1</v>
      </c>
      <c r="F108" s="3">
        <v>1</v>
      </c>
      <c r="G108" s="3">
        <v>0</v>
      </c>
      <c r="H108" s="3">
        <v>1</v>
      </c>
      <c r="I108" s="3">
        <v>0</v>
      </c>
      <c r="J108" s="3">
        <v>0</v>
      </c>
      <c r="K108" s="3">
        <v>0</v>
      </c>
    </row>
    <row r="109" spans="1:11" x14ac:dyDescent="0.45">
      <c r="A109">
        <f t="shared" si="2"/>
        <v>105</v>
      </c>
      <c r="B109" s="13">
        <v>146</v>
      </c>
      <c r="C109" s="6">
        <v>169</v>
      </c>
      <c r="D109" s="3">
        <v>0</v>
      </c>
      <c r="E109" s="3">
        <v>1</v>
      </c>
      <c r="F109" s="3">
        <v>1</v>
      </c>
      <c r="G109" s="3">
        <v>0</v>
      </c>
      <c r="H109" s="3">
        <v>1</v>
      </c>
      <c r="I109" s="3">
        <v>0</v>
      </c>
      <c r="J109" s="3">
        <v>0</v>
      </c>
      <c r="K109" s="3">
        <v>1</v>
      </c>
    </row>
    <row r="110" spans="1:11" x14ac:dyDescent="0.45">
      <c r="A110">
        <f t="shared" si="2"/>
        <v>106</v>
      </c>
      <c r="B110" s="13">
        <v>146</v>
      </c>
      <c r="C110" s="6">
        <v>170</v>
      </c>
      <c r="D110" s="3">
        <v>0</v>
      </c>
      <c r="E110" s="3">
        <v>1</v>
      </c>
      <c r="F110" s="3">
        <v>1</v>
      </c>
      <c r="G110" s="3">
        <v>0</v>
      </c>
      <c r="H110" s="3">
        <v>1</v>
      </c>
      <c r="I110" s="3">
        <v>0</v>
      </c>
      <c r="J110" s="3">
        <v>1</v>
      </c>
      <c r="K110" s="3">
        <v>0</v>
      </c>
    </row>
    <row r="111" spans="1:11" x14ac:dyDescent="0.45">
      <c r="A111">
        <f t="shared" si="2"/>
        <v>107</v>
      </c>
      <c r="B111" s="13">
        <v>146</v>
      </c>
      <c r="C111" s="6">
        <v>171</v>
      </c>
      <c r="D111" s="3">
        <v>0</v>
      </c>
      <c r="E111" s="3">
        <v>1</v>
      </c>
      <c r="F111" s="3">
        <v>1</v>
      </c>
      <c r="G111" s="3">
        <v>0</v>
      </c>
      <c r="H111" s="3">
        <v>1</v>
      </c>
      <c r="I111" s="3">
        <v>0</v>
      </c>
      <c r="J111" s="3">
        <v>1</v>
      </c>
      <c r="K111" s="3">
        <v>1</v>
      </c>
    </row>
    <row r="112" spans="1:11" x14ac:dyDescent="0.45">
      <c r="A112">
        <f t="shared" si="2"/>
        <v>108</v>
      </c>
      <c r="B112" s="13">
        <v>146</v>
      </c>
      <c r="C112" s="6">
        <v>172</v>
      </c>
      <c r="D112" s="3">
        <v>0</v>
      </c>
      <c r="E112" s="3">
        <v>1</v>
      </c>
      <c r="F112" s="3">
        <v>1</v>
      </c>
      <c r="G112" s="3">
        <v>0</v>
      </c>
      <c r="H112" s="3">
        <v>1</v>
      </c>
      <c r="I112" s="3">
        <v>1</v>
      </c>
      <c r="J112" s="3">
        <v>0</v>
      </c>
      <c r="K112" s="3">
        <v>0</v>
      </c>
    </row>
    <row r="113" spans="1:11" x14ac:dyDescent="0.45">
      <c r="A113">
        <f t="shared" si="2"/>
        <v>109</v>
      </c>
      <c r="B113" s="13">
        <v>146</v>
      </c>
      <c r="C113" s="6">
        <v>173</v>
      </c>
      <c r="D113" s="3">
        <v>0</v>
      </c>
      <c r="E113" s="3">
        <v>1</v>
      </c>
      <c r="F113" s="3">
        <v>1</v>
      </c>
      <c r="G113" s="3">
        <v>0</v>
      </c>
      <c r="H113" s="3">
        <v>1</v>
      </c>
      <c r="I113" s="3">
        <v>1</v>
      </c>
      <c r="J113" s="3">
        <v>0</v>
      </c>
      <c r="K113" s="3">
        <v>1</v>
      </c>
    </row>
    <row r="114" spans="1:11" x14ac:dyDescent="0.45">
      <c r="A114">
        <f t="shared" si="2"/>
        <v>110</v>
      </c>
      <c r="B114" s="13">
        <v>146</v>
      </c>
      <c r="C114" s="6">
        <v>174</v>
      </c>
      <c r="D114" s="3">
        <v>0</v>
      </c>
      <c r="E114" s="3">
        <v>1</v>
      </c>
      <c r="F114" s="3">
        <v>1</v>
      </c>
      <c r="G114" s="3">
        <v>0</v>
      </c>
      <c r="H114" s="3">
        <v>1</v>
      </c>
      <c r="I114" s="3">
        <v>1</v>
      </c>
      <c r="J114" s="3">
        <v>1</v>
      </c>
      <c r="K114" s="3">
        <v>0</v>
      </c>
    </row>
    <row r="115" spans="1:11" x14ac:dyDescent="0.45">
      <c r="A115">
        <f t="shared" si="2"/>
        <v>111</v>
      </c>
      <c r="B115" s="13">
        <v>146</v>
      </c>
      <c r="C115" s="6">
        <v>175</v>
      </c>
      <c r="D115" s="3">
        <v>0</v>
      </c>
      <c r="E115" s="3">
        <v>1</v>
      </c>
      <c r="F115" s="3">
        <v>1</v>
      </c>
      <c r="G115" s="3">
        <v>0</v>
      </c>
      <c r="H115" s="3">
        <v>1</v>
      </c>
      <c r="I115" s="3">
        <v>1</v>
      </c>
      <c r="J115" s="3">
        <v>1</v>
      </c>
      <c r="K115" s="3">
        <v>1</v>
      </c>
    </row>
    <row r="116" spans="1:11" x14ac:dyDescent="0.45">
      <c r="A116">
        <f t="shared" si="2"/>
        <v>112</v>
      </c>
      <c r="B116" s="13">
        <v>146</v>
      </c>
      <c r="C116" s="6">
        <v>176</v>
      </c>
      <c r="D116" s="3">
        <v>0</v>
      </c>
      <c r="E116" s="3">
        <v>1</v>
      </c>
      <c r="F116" s="3">
        <v>1</v>
      </c>
      <c r="G116" s="3">
        <v>1</v>
      </c>
      <c r="H116" s="3">
        <v>0</v>
      </c>
      <c r="I116" s="3">
        <v>0</v>
      </c>
      <c r="J116" s="3">
        <v>0</v>
      </c>
      <c r="K116" s="3">
        <v>0</v>
      </c>
    </row>
    <row r="117" spans="1:11" x14ac:dyDescent="0.45">
      <c r="A117">
        <f t="shared" si="2"/>
        <v>113</v>
      </c>
      <c r="B117" s="13">
        <v>146</v>
      </c>
      <c r="C117" s="6">
        <v>177</v>
      </c>
      <c r="D117" s="3">
        <v>0</v>
      </c>
      <c r="E117" s="3">
        <v>1</v>
      </c>
      <c r="F117" s="3">
        <v>1</v>
      </c>
      <c r="G117" s="3">
        <v>1</v>
      </c>
      <c r="H117" s="3">
        <v>0</v>
      </c>
      <c r="I117" s="3">
        <v>0</v>
      </c>
      <c r="J117" s="3">
        <v>0</v>
      </c>
      <c r="K117" s="3">
        <v>1</v>
      </c>
    </row>
    <row r="118" spans="1:11" x14ac:dyDescent="0.45">
      <c r="A118">
        <f t="shared" si="2"/>
        <v>114</v>
      </c>
      <c r="B118" s="13">
        <v>146</v>
      </c>
      <c r="C118" s="6">
        <v>178</v>
      </c>
      <c r="D118" s="3">
        <v>0</v>
      </c>
      <c r="E118" s="3">
        <v>1</v>
      </c>
      <c r="F118" s="3">
        <v>1</v>
      </c>
      <c r="G118" s="3">
        <v>1</v>
      </c>
      <c r="H118" s="3">
        <v>0</v>
      </c>
      <c r="I118" s="3">
        <v>0</v>
      </c>
      <c r="J118" s="3">
        <v>1</v>
      </c>
      <c r="K118" s="3">
        <v>0</v>
      </c>
    </row>
    <row r="119" spans="1:11" x14ac:dyDescent="0.45">
      <c r="A119">
        <f t="shared" si="2"/>
        <v>115</v>
      </c>
      <c r="B119" s="13">
        <v>146</v>
      </c>
      <c r="C119" s="6">
        <v>179</v>
      </c>
      <c r="D119" s="3">
        <v>0</v>
      </c>
      <c r="E119" s="3">
        <v>1</v>
      </c>
      <c r="F119" s="3">
        <v>1</v>
      </c>
      <c r="G119" s="3">
        <v>1</v>
      </c>
      <c r="H119" s="3">
        <v>0</v>
      </c>
      <c r="I119" s="3">
        <v>0</v>
      </c>
      <c r="J119" s="3">
        <v>1</v>
      </c>
      <c r="K119" s="3">
        <v>1</v>
      </c>
    </row>
    <row r="120" spans="1:11" x14ac:dyDescent="0.45">
      <c r="A120">
        <f t="shared" si="2"/>
        <v>116</v>
      </c>
      <c r="B120" s="13">
        <v>146</v>
      </c>
      <c r="C120" s="6">
        <v>180</v>
      </c>
      <c r="D120" s="3">
        <v>0</v>
      </c>
      <c r="E120" s="3">
        <v>1</v>
      </c>
      <c r="F120" s="3">
        <v>1</v>
      </c>
      <c r="G120" s="3">
        <v>1</v>
      </c>
      <c r="H120" s="3">
        <v>0</v>
      </c>
      <c r="I120" s="3">
        <v>1</v>
      </c>
      <c r="J120" s="3">
        <v>0</v>
      </c>
      <c r="K120" s="3">
        <v>0</v>
      </c>
    </row>
    <row r="121" spans="1:11" x14ac:dyDescent="0.45">
      <c r="A121">
        <f t="shared" si="2"/>
        <v>117</v>
      </c>
      <c r="B121" s="13">
        <v>146</v>
      </c>
      <c r="C121" s="6">
        <v>181</v>
      </c>
      <c r="D121" s="3">
        <v>0</v>
      </c>
      <c r="E121" s="3">
        <v>1</v>
      </c>
      <c r="F121" s="3">
        <v>1</v>
      </c>
      <c r="G121" s="3">
        <v>1</v>
      </c>
      <c r="H121" s="3">
        <v>0</v>
      </c>
      <c r="I121" s="3">
        <v>1</v>
      </c>
      <c r="J121" s="3">
        <v>0</v>
      </c>
      <c r="K121" s="3">
        <v>1</v>
      </c>
    </row>
    <row r="122" spans="1:11" x14ac:dyDescent="0.45">
      <c r="A122">
        <f t="shared" si="2"/>
        <v>118</v>
      </c>
      <c r="B122" s="13">
        <v>146</v>
      </c>
      <c r="C122" s="6">
        <v>182</v>
      </c>
      <c r="D122" s="3">
        <v>0</v>
      </c>
      <c r="E122" s="3">
        <v>1</v>
      </c>
      <c r="F122" s="3">
        <v>1</v>
      </c>
      <c r="G122" s="3">
        <v>1</v>
      </c>
      <c r="H122" s="3">
        <v>0</v>
      </c>
      <c r="I122" s="3">
        <v>1</v>
      </c>
      <c r="J122" s="3">
        <v>1</v>
      </c>
      <c r="K122" s="3">
        <v>0</v>
      </c>
    </row>
    <row r="123" spans="1:11" x14ac:dyDescent="0.45">
      <c r="A123">
        <f t="shared" si="2"/>
        <v>119</v>
      </c>
      <c r="B123" s="13">
        <v>146</v>
      </c>
      <c r="C123" s="6">
        <v>183</v>
      </c>
      <c r="D123" s="3">
        <v>0</v>
      </c>
      <c r="E123" s="3">
        <v>1</v>
      </c>
      <c r="F123" s="3">
        <v>1</v>
      </c>
      <c r="G123" s="3">
        <v>1</v>
      </c>
      <c r="H123" s="3">
        <v>0</v>
      </c>
      <c r="I123" s="3">
        <v>1</v>
      </c>
      <c r="J123" s="3">
        <v>1</v>
      </c>
      <c r="K123" s="3">
        <v>1</v>
      </c>
    </row>
    <row r="124" spans="1:11" x14ac:dyDescent="0.45">
      <c r="A124">
        <f t="shared" si="2"/>
        <v>120</v>
      </c>
      <c r="B124" s="13">
        <v>146</v>
      </c>
      <c r="C124" s="6">
        <v>184</v>
      </c>
      <c r="D124" s="3">
        <v>0</v>
      </c>
      <c r="E124" s="3">
        <v>1</v>
      </c>
      <c r="F124" s="3">
        <v>1</v>
      </c>
      <c r="G124" s="3">
        <v>1</v>
      </c>
      <c r="H124" s="3">
        <v>1</v>
      </c>
      <c r="I124" s="3">
        <v>0</v>
      </c>
      <c r="J124" s="3">
        <v>0</v>
      </c>
      <c r="K124" s="3">
        <v>0</v>
      </c>
    </row>
    <row r="125" spans="1:11" x14ac:dyDescent="0.45">
      <c r="A125">
        <f t="shared" si="2"/>
        <v>121</v>
      </c>
      <c r="B125" s="13">
        <v>146</v>
      </c>
      <c r="C125" s="6">
        <v>185</v>
      </c>
      <c r="D125" s="3">
        <v>0</v>
      </c>
      <c r="E125" s="3">
        <v>1</v>
      </c>
      <c r="F125" s="3">
        <v>1</v>
      </c>
      <c r="G125" s="3">
        <v>1</v>
      </c>
      <c r="H125" s="3">
        <v>1</v>
      </c>
      <c r="I125" s="3">
        <v>0</v>
      </c>
      <c r="J125" s="3">
        <v>0</v>
      </c>
      <c r="K125" s="3">
        <v>1</v>
      </c>
    </row>
    <row r="126" spans="1:11" x14ac:dyDescent="0.45">
      <c r="A126">
        <f t="shared" si="2"/>
        <v>122</v>
      </c>
      <c r="B126" s="13">
        <v>146</v>
      </c>
      <c r="C126" s="6">
        <v>186</v>
      </c>
      <c r="D126" s="3">
        <v>0</v>
      </c>
      <c r="E126" s="3">
        <v>1</v>
      </c>
      <c r="F126" s="3">
        <v>1</v>
      </c>
      <c r="G126" s="3">
        <v>1</v>
      </c>
      <c r="H126" s="3">
        <v>1</v>
      </c>
      <c r="I126" s="3">
        <v>0</v>
      </c>
      <c r="J126" s="3">
        <v>1</v>
      </c>
      <c r="K126" s="3">
        <v>0</v>
      </c>
    </row>
    <row r="127" spans="1:11" x14ac:dyDescent="0.45">
      <c r="A127">
        <f t="shared" si="2"/>
        <v>123</v>
      </c>
      <c r="B127" s="13">
        <v>146</v>
      </c>
      <c r="C127" s="6">
        <v>187</v>
      </c>
      <c r="D127" s="3">
        <v>0</v>
      </c>
      <c r="E127" s="3">
        <v>1</v>
      </c>
      <c r="F127" s="3">
        <v>1</v>
      </c>
      <c r="G127" s="3">
        <v>1</v>
      </c>
      <c r="H127" s="3">
        <v>1</v>
      </c>
      <c r="I127" s="3">
        <v>0</v>
      </c>
      <c r="J127" s="3">
        <v>1</v>
      </c>
      <c r="K127" s="3">
        <v>1</v>
      </c>
    </row>
    <row r="128" spans="1:11" x14ac:dyDescent="0.45">
      <c r="A128">
        <f t="shared" si="2"/>
        <v>124</v>
      </c>
      <c r="B128" s="13">
        <v>146</v>
      </c>
      <c r="C128" s="6">
        <v>188</v>
      </c>
      <c r="D128" s="3">
        <v>0</v>
      </c>
      <c r="E128" s="3">
        <v>1</v>
      </c>
      <c r="F128" s="3">
        <v>1</v>
      </c>
      <c r="G128" s="3">
        <v>1</v>
      </c>
      <c r="H128" s="3">
        <v>1</v>
      </c>
      <c r="I128" s="3">
        <v>1</v>
      </c>
      <c r="J128" s="3">
        <v>0</v>
      </c>
      <c r="K128" s="3">
        <v>0</v>
      </c>
    </row>
    <row r="129" spans="1:11" x14ac:dyDescent="0.45">
      <c r="A129">
        <f t="shared" si="2"/>
        <v>125</v>
      </c>
      <c r="B129" s="13">
        <v>146</v>
      </c>
      <c r="C129" s="6">
        <v>189</v>
      </c>
      <c r="D129" s="3">
        <v>0</v>
      </c>
      <c r="E129" s="3">
        <v>1</v>
      </c>
      <c r="F129" s="3">
        <v>1</v>
      </c>
      <c r="G129" s="3">
        <v>1</v>
      </c>
      <c r="H129" s="3">
        <v>1</v>
      </c>
      <c r="I129" s="3">
        <v>1</v>
      </c>
      <c r="J129" s="3">
        <v>0</v>
      </c>
      <c r="K129" s="3">
        <v>1</v>
      </c>
    </row>
    <row r="130" spans="1:11" x14ac:dyDescent="0.45">
      <c r="A130">
        <f t="shared" si="2"/>
        <v>126</v>
      </c>
      <c r="B130" s="13">
        <v>146</v>
      </c>
      <c r="C130" s="6">
        <v>190</v>
      </c>
      <c r="D130" s="3">
        <v>0</v>
      </c>
      <c r="E130" s="3">
        <v>1</v>
      </c>
      <c r="F130" s="3">
        <v>1</v>
      </c>
      <c r="G130" s="3">
        <v>1</v>
      </c>
      <c r="H130" s="3">
        <v>1</v>
      </c>
      <c r="I130" s="3">
        <v>1</v>
      </c>
      <c r="J130" s="3">
        <v>1</v>
      </c>
      <c r="K130" s="3">
        <v>0</v>
      </c>
    </row>
    <row r="131" spans="1:11" x14ac:dyDescent="0.45">
      <c r="A131">
        <f t="shared" si="2"/>
        <v>127</v>
      </c>
      <c r="B131" s="13">
        <v>146</v>
      </c>
      <c r="C131" s="6">
        <v>191</v>
      </c>
      <c r="D131" s="3">
        <v>0</v>
      </c>
      <c r="E131" s="3">
        <v>1</v>
      </c>
      <c r="F131" s="3">
        <v>1</v>
      </c>
      <c r="G131" s="3">
        <v>1</v>
      </c>
      <c r="H131" s="3">
        <v>1</v>
      </c>
      <c r="I131" s="3">
        <v>1</v>
      </c>
      <c r="J131" s="3">
        <v>1</v>
      </c>
      <c r="K131" s="3">
        <v>1</v>
      </c>
    </row>
    <row r="132" spans="1:11" x14ac:dyDescent="0.45">
      <c r="A132" s="8">
        <f t="shared" ref="A132:A195" si="3">D132*2^$D$3+E132*2^$E$3+F132*2^$F$3+G132*2^$G$3+H132*2^$H$3+I132*2^$I$3+J132*2^$J$3+K132*2^$K$3</f>
        <v>128</v>
      </c>
      <c r="B132" s="12">
        <v>18</v>
      </c>
      <c r="C132" s="9">
        <v>64</v>
      </c>
      <c r="D132" s="10">
        <v>1</v>
      </c>
      <c r="E132" s="10">
        <v>0</v>
      </c>
      <c r="F132" s="10">
        <v>0</v>
      </c>
      <c r="G132" s="10">
        <v>0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45">
      <c r="A133">
        <f t="shared" si="3"/>
        <v>129</v>
      </c>
      <c r="B133" s="12">
        <v>18</v>
      </c>
      <c r="C133" s="6">
        <v>65</v>
      </c>
      <c r="D133" s="3">
        <v>1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0</v>
      </c>
      <c r="K133" s="3">
        <v>1</v>
      </c>
    </row>
    <row r="134" spans="1:11" x14ac:dyDescent="0.45">
      <c r="A134">
        <f t="shared" si="3"/>
        <v>130</v>
      </c>
      <c r="B134" s="12">
        <v>18</v>
      </c>
      <c r="C134" s="6">
        <v>66</v>
      </c>
      <c r="D134" s="3">
        <v>1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1</v>
      </c>
      <c r="K134" s="3">
        <v>0</v>
      </c>
    </row>
    <row r="135" spans="1:11" x14ac:dyDescent="0.45">
      <c r="A135">
        <f t="shared" si="3"/>
        <v>131</v>
      </c>
      <c r="B135" s="12">
        <v>18</v>
      </c>
      <c r="C135" s="6">
        <v>67</v>
      </c>
      <c r="D135" s="3">
        <v>1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1</v>
      </c>
      <c r="K135" s="3">
        <v>1</v>
      </c>
    </row>
    <row r="136" spans="1:11" x14ac:dyDescent="0.45">
      <c r="A136">
        <f t="shared" si="3"/>
        <v>132</v>
      </c>
      <c r="B136" s="12">
        <v>18</v>
      </c>
      <c r="C136" s="6">
        <v>68</v>
      </c>
      <c r="D136" s="3">
        <v>1</v>
      </c>
      <c r="E136" s="3">
        <v>0</v>
      </c>
      <c r="F136" s="3">
        <v>0</v>
      </c>
      <c r="G136" s="3">
        <v>0</v>
      </c>
      <c r="H136" s="3">
        <v>0</v>
      </c>
      <c r="I136" s="3">
        <v>1</v>
      </c>
      <c r="J136" s="3">
        <v>0</v>
      </c>
      <c r="K136" s="3">
        <v>0</v>
      </c>
    </row>
    <row r="137" spans="1:11" x14ac:dyDescent="0.45">
      <c r="A137">
        <f t="shared" si="3"/>
        <v>133</v>
      </c>
      <c r="B137" s="12">
        <v>18</v>
      </c>
      <c r="C137" s="6">
        <v>69</v>
      </c>
      <c r="D137" s="3">
        <v>1</v>
      </c>
      <c r="E137" s="3">
        <v>0</v>
      </c>
      <c r="F137" s="3">
        <v>0</v>
      </c>
      <c r="G137" s="3">
        <v>0</v>
      </c>
      <c r="H137" s="3">
        <v>0</v>
      </c>
      <c r="I137" s="3">
        <v>1</v>
      </c>
      <c r="J137" s="3">
        <v>0</v>
      </c>
      <c r="K137" s="3">
        <v>1</v>
      </c>
    </row>
    <row r="138" spans="1:11" x14ac:dyDescent="0.45">
      <c r="A138">
        <f t="shared" si="3"/>
        <v>134</v>
      </c>
      <c r="B138" s="12">
        <v>18</v>
      </c>
      <c r="C138" s="6">
        <v>70</v>
      </c>
      <c r="D138" s="3">
        <v>1</v>
      </c>
      <c r="E138" s="3">
        <v>0</v>
      </c>
      <c r="F138" s="3">
        <v>0</v>
      </c>
      <c r="G138" s="3">
        <v>0</v>
      </c>
      <c r="H138" s="3">
        <v>0</v>
      </c>
      <c r="I138" s="3">
        <v>1</v>
      </c>
      <c r="J138" s="3">
        <v>1</v>
      </c>
      <c r="K138" s="3">
        <v>0</v>
      </c>
    </row>
    <row r="139" spans="1:11" x14ac:dyDescent="0.45">
      <c r="A139">
        <f t="shared" si="3"/>
        <v>135</v>
      </c>
      <c r="B139" s="12">
        <v>18</v>
      </c>
      <c r="C139" s="6">
        <v>71</v>
      </c>
      <c r="D139" s="3">
        <v>1</v>
      </c>
      <c r="E139" s="3">
        <v>0</v>
      </c>
      <c r="F139" s="3">
        <v>0</v>
      </c>
      <c r="G139" s="3">
        <v>0</v>
      </c>
      <c r="H139" s="3">
        <v>0</v>
      </c>
      <c r="I139" s="3">
        <v>1</v>
      </c>
      <c r="J139" s="3">
        <v>1</v>
      </c>
      <c r="K139" s="3">
        <v>1</v>
      </c>
    </row>
    <row r="140" spans="1:11" x14ac:dyDescent="0.45">
      <c r="A140">
        <f t="shared" si="3"/>
        <v>136</v>
      </c>
      <c r="B140" s="12">
        <v>18</v>
      </c>
      <c r="C140" s="6">
        <v>72</v>
      </c>
      <c r="D140" s="3">
        <v>1</v>
      </c>
      <c r="E140" s="3">
        <v>0</v>
      </c>
      <c r="F140" s="3">
        <v>0</v>
      </c>
      <c r="G140" s="3">
        <v>0</v>
      </c>
      <c r="H140" s="3">
        <v>1</v>
      </c>
      <c r="I140" s="3">
        <v>0</v>
      </c>
      <c r="J140" s="3">
        <v>0</v>
      </c>
      <c r="K140" s="3">
        <v>0</v>
      </c>
    </row>
    <row r="141" spans="1:11" x14ac:dyDescent="0.45">
      <c r="A141">
        <f t="shared" si="3"/>
        <v>137</v>
      </c>
      <c r="B141" s="12">
        <v>18</v>
      </c>
      <c r="C141" s="6">
        <v>73</v>
      </c>
      <c r="D141" s="3">
        <v>1</v>
      </c>
      <c r="E141" s="3">
        <v>0</v>
      </c>
      <c r="F141" s="3">
        <v>0</v>
      </c>
      <c r="G141" s="3">
        <v>0</v>
      </c>
      <c r="H141" s="3">
        <v>1</v>
      </c>
      <c r="I141" s="3">
        <v>0</v>
      </c>
      <c r="J141" s="3">
        <v>0</v>
      </c>
      <c r="K141" s="3">
        <v>1</v>
      </c>
    </row>
    <row r="142" spans="1:11" x14ac:dyDescent="0.45">
      <c r="A142">
        <f t="shared" si="3"/>
        <v>138</v>
      </c>
      <c r="B142" s="12">
        <v>18</v>
      </c>
      <c r="C142" s="6">
        <v>74</v>
      </c>
      <c r="D142" s="3">
        <v>1</v>
      </c>
      <c r="E142" s="3">
        <v>0</v>
      </c>
      <c r="F142" s="3">
        <v>0</v>
      </c>
      <c r="G142" s="3">
        <v>0</v>
      </c>
      <c r="H142" s="3">
        <v>1</v>
      </c>
      <c r="I142" s="3">
        <v>0</v>
      </c>
      <c r="J142" s="3">
        <v>1</v>
      </c>
      <c r="K142" s="3">
        <v>0</v>
      </c>
    </row>
    <row r="143" spans="1:11" x14ac:dyDescent="0.45">
      <c r="A143">
        <f t="shared" si="3"/>
        <v>139</v>
      </c>
      <c r="B143" s="12">
        <v>18</v>
      </c>
      <c r="C143" s="6">
        <v>75</v>
      </c>
      <c r="D143" s="3">
        <v>1</v>
      </c>
      <c r="E143" s="3">
        <v>0</v>
      </c>
      <c r="F143" s="3">
        <v>0</v>
      </c>
      <c r="G143" s="3">
        <v>0</v>
      </c>
      <c r="H143" s="3">
        <v>1</v>
      </c>
      <c r="I143" s="3">
        <v>0</v>
      </c>
      <c r="J143" s="3">
        <v>1</v>
      </c>
      <c r="K143" s="3">
        <v>1</v>
      </c>
    </row>
    <row r="144" spans="1:11" x14ac:dyDescent="0.45">
      <c r="A144">
        <f t="shared" si="3"/>
        <v>140</v>
      </c>
      <c r="B144" s="12">
        <v>18</v>
      </c>
      <c r="C144" s="6">
        <v>76</v>
      </c>
      <c r="D144" s="3">
        <v>1</v>
      </c>
      <c r="E144" s="3">
        <v>0</v>
      </c>
      <c r="F144" s="3">
        <v>0</v>
      </c>
      <c r="G144" s="3">
        <v>0</v>
      </c>
      <c r="H144" s="3">
        <v>1</v>
      </c>
      <c r="I144" s="3">
        <v>1</v>
      </c>
      <c r="J144" s="3">
        <v>0</v>
      </c>
      <c r="K144" s="3">
        <v>0</v>
      </c>
    </row>
    <row r="145" spans="1:11" x14ac:dyDescent="0.45">
      <c r="A145">
        <f t="shared" si="3"/>
        <v>141</v>
      </c>
      <c r="B145" s="12">
        <v>18</v>
      </c>
      <c r="C145" s="6">
        <v>77</v>
      </c>
      <c r="D145" s="3">
        <v>1</v>
      </c>
      <c r="E145" s="3">
        <v>0</v>
      </c>
      <c r="F145" s="3">
        <v>0</v>
      </c>
      <c r="G145" s="3">
        <v>0</v>
      </c>
      <c r="H145" s="3">
        <v>1</v>
      </c>
      <c r="I145" s="3">
        <v>1</v>
      </c>
      <c r="J145" s="3">
        <v>0</v>
      </c>
      <c r="K145" s="3">
        <v>1</v>
      </c>
    </row>
    <row r="146" spans="1:11" x14ac:dyDescent="0.45">
      <c r="A146">
        <f t="shared" si="3"/>
        <v>142</v>
      </c>
      <c r="B146" s="12">
        <v>18</v>
      </c>
      <c r="C146" s="6">
        <v>78</v>
      </c>
      <c r="D146" s="3">
        <v>1</v>
      </c>
      <c r="E146" s="3">
        <v>0</v>
      </c>
      <c r="F146" s="3">
        <v>0</v>
      </c>
      <c r="G146" s="3">
        <v>0</v>
      </c>
      <c r="H146" s="3">
        <v>1</v>
      </c>
      <c r="I146" s="3">
        <v>1</v>
      </c>
      <c r="J146" s="3">
        <v>1</v>
      </c>
      <c r="K146" s="3">
        <v>0</v>
      </c>
    </row>
    <row r="147" spans="1:11" x14ac:dyDescent="0.45">
      <c r="A147">
        <f t="shared" si="3"/>
        <v>143</v>
      </c>
      <c r="B147" s="12">
        <v>18</v>
      </c>
      <c r="C147" s="6">
        <v>79</v>
      </c>
      <c r="D147" s="3">
        <v>1</v>
      </c>
      <c r="E147" s="3">
        <v>0</v>
      </c>
      <c r="F147" s="3">
        <v>0</v>
      </c>
      <c r="G147" s="3">
        <v>0</v>
      </c>
      <c r="H147" s="3">
        <v>1</v>
      </c>
      <c r="I147" s="3">
        <v>1</v>
      </c>
      <c r="J147" s="3">
        <v>1</v>
      </c>
      <c r="K147" s="3">
        <v>1</v>
      </c>
    </row>
    <row r="148" spans="1:11" x14ac:dyDescent="0.45">
      <c r="A148">
        <f t="shared" si="3"/>
        <v>144</v>
      </c>
      <c r="B148" s="12">
        <v>18</v>
      </c>
      <c r="C148" s="6">
        <v>80</v>
      </c>
      <c r="D148" s="3">
        <v>1</v>
      </c>
      <c r="E148" s="3">
        <v>0</v>
      </c>
      <c r="F148" s="3">
        <v>0</v>
      </c>
      <c r="G148" s="3">
        <v>1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45">
      <c r="A149">
        <f t="shared" si="3"/>
        <v>145</v>
      </c>
      <c r="B149" s="12">
        <v>18</v>
      </c>
      <c r="C149" s="6">
        <v>81</v>
      </c>
      <c r="D149" s="3">
        <v>1</v>
      </c>
      <c r="E149" s="3">
        <v>0</v>
      </c>
      <c r="F149" s="3">
        <v>0</v>
      </c>
      <c r="G149" s="3">
        <v>1</v>
      </c>
      <c r="H149" s="3">
        <v>0</v>
      </c>
      <c r="I149" s="3">
        <v>0</v>
      </c>
      <c r="J149" s="3">
        <v>0</v>
      </c>
      <c r="K149" s="3">
        <v>1</v>
      </c>
    </row>
    <row r="150" spans="1:11" x14ac:dyDescent="0.45">
      <c r="A150">
        <f t="shared" si="3"/>
        <v>146</v>
      </c>
      <c r="B150" s="12">
        <v>18</v>
      </c>
      <c r="C150" s="6">
        <v>82</v>
      </c>
      <c r="D150" s="3">
        <v>1</v>
      </c>
      <c r="E150" s="3">
        <v>0</v>
      </c>
      <c r="F150" s="3">
        <v>0</v>
      </c>
      <c r="G150" s="3">
        <v>1</v>
      </c>
      <c r="H150" s="3">
        <v>0</v>
      </c>
      <c r="I150" s="3">
        <v>0</v>
      </c>
      <c r="J150" s="3">
        <v>1</v>
      </c>
      <c r="K150" s="3">
        <v>0</v>
      </c>
    </row>
    <row r="151" spans="1:11" x14ac:dyDescent="0.45">
      <c r="A151">
        <f t="shared" si="3"/>
        <v>147</v>
      </c>
      <c r="B151" s="12">
        <v>18</v>
      </c>
      <c r="C151" s="6">
        <v>83</v>
      </c>
      <c r="D151" s="3">
        <v>1</v>
      </c>
      <c r="E151" s="3">
        <v>0</v>
      </c>
      <c r="F151" s="3">
        <v>0</v>
      </c>
      <c r="G151" s="3">
        <v>1</v>
      </c>
      <c r="H151" s="3">
        <v>0</v>
      </c>
      <c r="I151" s="3">
        <v>0</v>
      </c>
      <c r="J151" s="3">
        <v>1</v>
      </c>
      <c r="K151" s="3">
        <v>1</v>
      </c>
    </row>
    <row r="152" spans="1:11" x14ac:dyDescent="0.45">
      <c r="A152">
        <f t="shared" si="3"/>
        <v>148</v>
      </c>
      <c r="B152" s="12">
        <v>18</v>
      </c>
      <c r="C152" s="6">
        <v>84</v>
      </c>
      <c r="D152" s="3">
        <v>1</v>
      </c>
      <c r="E152" s="3">
        <v>0</v>
      </c>
      <c r="F152" s="3">
        <v>0</v>
      </c>
      <c r="G152" s="3">
        <v>1</v>
      </c>
      <c r="H152" s="3">
        <v>0</v>
      </c>
      <c r="I152" s="3">
        <v>1</v>
      </c>
      <c r="J152" s="3">
        <v>0</v>
      </c>
      <c r="K152" s="3">
        <v>0</v>
      </c>
    </row>
    <row r="153" spans="1:11" x14ac:dyDescent="0.45">
      <c r="A153">
        <f t="shared" si="3"/>
        <v>149</v>
      </c>
      <c r="B153" s="12">
        <v>18</v>
      </c>
      <c r="C153" s="6">
        <v>85</v>
      </c>
      <c r="D153" s="3">
        <v>1</v>
      </c>
      <c r="E153" s="3">
        <v>0</v>
      </c>
      <c r="F153" s="3">
        <v>0</v>
      </c>
      <c r="G153" s="3">
        <v>1</v>
      </c>
      <c r="H153" s="3">
        <v>0</v>
      </c>
      <c r="I153" s="3">
        <v>1</v>
      </c>
      <c r="J153" s="3">
        <v>0</v>
      </c>
      <c r="K153" s="3">
        <v>1</v>
      </c>
    </row>
    <row r="154" spans="1:11" x14ac:dyDescent="0.45">
      <c r="A154">
        <f t="shared" si="3"/>
        <v>150</v>
      </c>
      <c r="B154" s="12">
        <v>18</v>
      </c>
      <c r="C154" s="6">
        <v>86</v>
      </c>
      <c r="D154" s="3">
        <v>1</v>
      </c>
      <c r="E154" s="3">
        <v>0</v>
      </c>
      <c r="F154" s="3">
        <v>0</v>
      </c>
      <c r="G154" s="3">
        <v>1</v>
      </c>
      <c r="H154" s="3">
        <v>0</v>
      </c>
      <c r="I154" s="3">
        <v>1</v>
      </c>
      <c r="J154" s="3">
        <v>1</v>
      </c>
      <c r="K154" s="3">
        <v>0</v>
      </c>
    </row>
    <row r="155" spans="1:11" x14ac:dyDescent="0.45">
      <c r="A155">
        <f t="shared" si="3"/>
        <v>151</v>
      </c>
      <c r="B155" s="12">
        <v>18</v>
      </c>
      <c r="C155" s="6">
        <v>87</v>
      </c>
      <c r="D155" s="3">
        <v>1</v>
      </c>
      <c r="E155" s="3">
        <v>0</v>
      </c>
      <c r="F155" s="3">
        <v>0</v>
      </c>
      <c r="G155" s="3">
        <v>1</v>
      </c>
      <c r="H155" s="3">
        <v>0</v>
      </c>
      <c r="I155" s="3">
        <v>1</v>
      </c>
      <c r="J155" s="3">
        <v>1</v>
      </c>
      <c r="K155" s="3">
        <v>1</v>
      </c>
    </row>
    <row r="156" spans="1:11" x14ac:dyDescent="0.45">
      <c r="A156">
        <f t="shared" si="3"/>
        <v>152</v>
      </c>
      <c r="B156" s="12">
        <v>18</v>
      </c>
      <c r="C156" s="6">
        <v>88</v>
      </c>
      <c r="D156" s="3">
        <v>1</v>
      </c>
      <c r="E156" s="3">
        <v>0</v>
      </c>
      <c r="F156" s="3">
        <v>0</v>
      </c>
      <c r="G156" s="3">
        <v>1</v>
      </c>
      <c r="H156" s="3">
        <v>1</v>
      </c>
      <c r="I156" s="3">
        <v>0</v>
      </c>
      <c r="J156" s="3">
        <v>0</v>
      </c>
      <c r="K156" s="3">
        <v>0</v>
      </c>
    </row>
    <row r="157" spans="1:11" x14ac:dyDescent="0.45">
      <c r="A157">
        <f t="shared" si="3"/>
        <v>153</v>
      </c>
      <c r="B157" s="12">
        <v>18</v>
      </c>
      <c r="C157" s="6">
        <v>89</v>
      </c>
      <c r="D157" s="3">
        <v>1</v>
      </c>
      <c r="E157" s="3">
        <v>0</v>
      </c>
      <c r="F157" s="3">
        <v>0</v>
      </c>
      <c r="G157" s="3">
        <v>1</v>
      </c>
      <c r="H157" s="3">
        <v>1</v>
      </c>
      <c r="I157" s="3">
        <v>0</v>
      </c>
      <c r="J157" s="3">
        <v>0</v>
      </c>
      <c r="K157" s="3">
        <v>1</v>
      </c>
    </row>
    <row r="158" spans="1:11" x14ac:dyDescent="0.45">
      <c r="A158">
        <f t="shared" si="3"/>
        <v>154</v>
      </c>
      <c r="B158" s="12">
        <v>18</v>
      </c>
      <c r="C158" s="6">
        <v>90</v>
      </c>
      <c r="D158" s="3">
        <v>1</v>
      </c>
      <c r="E158" s="3">
        <v>0</v>
      </c>
      <c r="F158" s="3">
        <v>0</v>
      </c>
      <c r="G158" s="3">
        <v>1</v>
      </c>
      <c r="H158" s="3">
        <v>1</v>
      </c>
      <c r="I158" s="3">
        <v>0</v>
      </c>
      <c r="J158" s="3">
        <v>1</v>
      </c>
      <c r="K158" s="3">
        <v>0</v>
      </c>
    </row>
    <row r="159" spans="1:11" x14ac:dyDescent="0.45">
      <c r="A159">
        <f t="shared" si="3"/>
        <v>155</v>
      </c>
      <c r="B159" s="12">
        <v>18</v>
      </c>
      <c r="C159" s="6">
        <v>91</v>
      </c>
      <c r="D159" s="3">
        <v>1</v>
      </c>
      <c r="E159" s="3">
        <v>0</v>
      </c>
      <c r="F159" s="3">
        <v>0</v>
      </c>
      <c r="G159" s="3">
        <v>1</v>
      </c>
      <c r="H159" s="3">
        <v>1</v>
      </c>
      <c r="I159" s="3">
        <v>0</v>
      </c>
      <c r="J159" s="3">
        <v>1</v>
      </c>
      <c r="K159" s="3">
        <v>1</v>
      </c>
    </row>
    <row r="160" spans="1:11" x14ac:dyDescent="0.45">
      <c r="A160">
        <f t="shared" si="3"/>
        <v>156</v>
      </c>
      <c r="B160" s="12">
        <v>18</v>
      </c>
      <c r="C160" s="6">
        <v>92</v>
      </c>
      <c r="D160" s="3">
        <v>1</v>
      </c>
      <c r="E160" s="3">
        <v>0</v>
      </c>
      <c r="F160" s="3">
        <v>0</v>
      </c>
      <c r="G160" s="3">
        <v>1</v>
      </c>
      <c r="H160" s="3">
        <v>1</v>
      </c>
      <c r="I160" s="3">
        <v>1</v>
      </c>
      <c r="J160" s="3">
        <v>0</v>
      </c>
      <c r="K160" s="3">
        <v>0</v>
      </c>
    </row>
    <row r="161" spans="1:11" x14ac:dyDescent="0.45">
      <c r="A161">
        <f t="shared" si="3"/>
        <v>157</v>
      </c>
      <c r="B161" s="12">
        <v>18</v>
      </c>
      <c r="C161" s="6">
        <v>93</v>
      </c>
      <c r="D161" s="3">
        <v>1</v>
      </c>
      <c r="E161" s="3">
        <v>0</v>
      </c>
      <c r="F161" s="3">
        <v>0</v>
      </c>
      <c r="G161" s="3">
        <v>1</v>
      </c>
      <c r="H161" s="3">
        <v>1</v>
      </c>
      <c r="I161" s="3">
        <v>1</v>
      </c>
      <c r="J161" s="3">
        <v>0</v>
      </c>
      <c r="K161" s="3">
        <v>1</v>
      </c>
    </row>
    <row r="162" spans="1:11" x14ac:dyDescent="0.45">
      <c r="A162">
        <f t="shared" si="3"/>
        <v>158</v>
      </c>
      <c r="B162" s="12">
        <v>18</v>
      </c>
      <c r="C162" s="6">
        <v>94</v>
      </c>
      <c r="D162" s="3">
        <v>1</v>
      </c>
      <c r="E162" s="3">
        <v>0</v>
      </c>
      <c r="F162" s="3">
        <v>0</v>
      </c>
      <c r="G162" s="3">
        <v>1</v>
      </c>
      <c r="H162" s="3">
        <v>1</v>
      </c>
      <c r="I162" s="3">
        <v>1</v>
      </c>
      <c r="J162" s="3">
        <v>1</v>
      </c>
      <c r="K162" s="3">
        <v>0</v>
      </c>
    </row>
    <row r="163" spans="1:11" x14ac:dyDescent="0.45">
      <c r="A163">
        <f t="shared" si="3"/>
        <v>159</v>
      </c>
      <c r="B163" s="12">
        <v>18</v>
      </c>
      <c r="C163" s="6">
        <v>95</v>
      </c>
      <c r="D163" s="3">
        <v>1</v>
      </c>
      <c r="E163" s="3">
        <v>0</v>
      </c>
      <c r="F163" s="3">
        <v>0</v>
      </c>
      <c r="G163" s="3">
        <v>1</v>
      </c>
      <c r="H163" s="3">
        <v>1</v>
      </c>
      <c r="I163" s="3">
        <v>1</v>
      </c>
      <c r="J163" s="3">
        <v>1</v>
      </c>
      <c r="K163" s="3">
        <v>1</v>
      </c>
    </row>
    <row r="164" spans="1:11" x14ac:dyDescent="0.45">
      <c r="A164" s="8">
        <f t="shared" si="3"/>
        <v>160</v>
      </c>
      <c r="B164" s="12">
        <v>18</v>
      </c>
      <c r="C164" s="9">
        <v>32</v>
      </c>
      <c r="D164" s="10">
        <v>1</v>
      </c>
      <c r="E164" s="10">
        <v>0</v>
      </c>
      <c r="F164" s="10">
        <v>1</v>
      </c>
      <c r="G164" s="10">
        <v>0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45">
      <c r="A165">
        <f t="shared" si="3"/>
        <v>161</v>
      </c>
      <c r="B165" s="12">
        <v>18</v>
      </c>
      <c r="C165" s="6">
        <v>33</v>
      </c>
      <c r="D165" s="3">
        <v>1</v>
      </c>
      <c r="E165" s="3">
        <v>0</v>
      </c>
      <c r="F165" s="3">
        <v>1</v>
      </c>
      <c r="G165" s="3">
        <v>0</v>
      </c>
      <c r="H165" s="3">
        <v>0</v>
      </c>
      <c r="I165" s="3">
        <v>0</v>
      </c>
      <c r="J165" s="3">
        <v>0</v>
      </c>
      <c r="K165" s="3">
        <v>1</v>
      </c>
    </row>
    <row r="166" spans="1:11" x14ac:dyDescent="0.45">
      <c r="A166">
        <f t="shared" si="3"/>
        <v>162</v>
      </c>
      <c r="B166" s="12">
        <v>18</v>
      </c>
      <c r="C166" s="6">
        <v>34</v>
      </c>
      <c r="D166" s="3">
        <v>1</v>
      </c>
      <c r="E166" s="3">
        <v>0</v>
      </c>
      <c r="F166" s="3">
        <v>1</v>
      </c>
      <c r="G166" s="3">
        <v>0</v>
      </c>
      <c r="H166" s="3">
        <v>0</v>
      </c>
      <c r="I166" s="3">
        <v>0</v>
      </c>
      <c r="J166" s="3">
        <v>1</v>
      </c>
      <c r="K166" s="3">
        <v>0</v>
      </c>
    </row>
    <row r="167" spans="1:11" x14ac:dyDescent="0.45">
      <c r="A167">
        <f t="shared" si="3"/>
        <v>163</v>
      </c>
      <c r="B167" s="12">
        <v>18</v>
      </c>
      <c r="C167" s="6">
        <v>35</v>
      </c>
      <c r="D167" s="3">
        <v>1</v>
      </c>
      <c r="E167" s="3">
        <v>0</v>
      </c>
      <c r="F167" s="3">
        <v>1</v>
      </c>
      <c r="G167" s="3">
        <v>0</v>
      </c>
      <c r="H167" s="3">
        <v>0</v>
      </c>
      <c r="I167" s="3">
        <v>0</v>
      </c>
      <c r="J167" s="3">
        <v>1</v>
      </c>
      <c r="K167" s="3">
        <v>1</v>
      </c>
    </row>
    <row r="168" spans="1:11" x14ac:dyDescent="0.45">
      <c r="A168">
        <f t="shared" si="3"/>
        <v>164</v>
      </c>
      <c r="B168" s="12">
        <v>18</v>
      </c>
      <c r="C168" s="6">
        <v>36</v>
      </c>
      <c r="D168" s="3">
        <v>1</v>
      </c>
      <c r="E168" s="3">
        <v>0</v>
      </c>
      <c r="F168" s="3">
        <v>1</v>
      </c>
      <c r="G168" s="3">
        <v>0</v>
      </c>
      <c r="H168" s="3">
        <v>0</v>
      </c>
      <c r="I168" s="3">
        <v>1</v>
      </c>
      <c r="J168" s="3">
        <v>0</v>
      </c>
      <c r="K168" s="3">
        <v>0</v>
      </c>
    </row>
    <row r="169" spans="1:11" x14ac:dyDescent="0.45">
      <c r="A169">
        <f t="shared" si="3"/>
        <v>165</v>
      </c>
      <c r="B169" s="12">
        <v>18</v>
      </c>
      <c r="C169" s="6">
        <v>37</v>
      </c>
      <c r="D169" s="3">
        <v>1</v>
      </c>
      <c r="E169" s="3">
        <v>0</v>
      </c>
      <c r="F169" s="3">
        <v>1</v>
      </c>
      <c r="G169" s="3">
        <v>0</v>
      </c>
      <c r="H169" s="3">
        <v>0</v>
      </c>
      <c r="I169" s="3">
        <v>1</v>
      </c>
      <c r="J169" s="3">
        <v>0</v>
      </c>
      <c r="K169" s="3">
        <v>1</v>
      </c>
    </row>
    <row r="170" spans="1:11" x14ac:dyDescent="0.45">
      <c r="A170">
        <f t="shared" si="3"/>
        <v>166</v>
      </c>
      <c r="B170" s="12">
        <v>18</v>
      </c>
      <c r="C170" s="6">
        <v>38</v>
      </c>
      <c r="D170" s="3">
        <v>1</v>
      </c>
      <c r="E170" s="3">
        <v>0</v>
      </c>
      <c r="F170" s="3">
        <v>1</v>
      </c>
      <c r="G170" s="3">
        <v>0</v>
      </c>
      <c r="H170" s="3">
        <v>0</v>
      </c>
      <c r="I170" s="3">
        <v>1</v>
      </c>
      <c r="J170" s="3">
        <v>1</v>
      </c>
      <c r="K170" s="3">
        <v>0</v>
      </c>
    </row>
    <row r="171" spans="1:11" x14ac:dyDescent="0.45">
      <c r="A171">
        <f t="shared" si="3"/>
        <v>167</v>
      </c>
      <c r="B171" s="12">
        <v>18</v>
      </c>
      <c r="C171" s="6">
        <v>39</v>
      </c>
      <c r="D171" s="3">
        <v>1</v>
      </c>
      <c r="E171" s="3">
        <v>0</v>
      </c>
      <c r="F171" s="3">
        <v>1</v>
      </c>
      <c r="G171" s="3">
        <v>0</v>
      </c>
      <c r="H171" s="3">
        <v>0</v>
      </c>
      <c r="I171" s="3">
        <v>1</v>
      </c>
      <c r="J171" s="3">
        <v>1</v>
      </c>
      <c r="K171" s="3">
        <v>1</v>
      </c>
    </row>
    <row r="172" spans="1:11" x14ac:dyDescent="0.45">
      <c r="A172">
        <f t="shared" si="3"/>
        <v>168</v>
      </c>
      <c r="B172" s="12">
        <v>18</v>
      </c>
      <c r="C172" s="6">
        <v>40</v>
      </c>
      <c r="D172" s="3">
        <v>1</v>
      </c>
      <c r="E172" s="3">
        <v>0</v>
      </c>
      <c r="F172" s="3">
        <v>1</v>
      </c>
      <c r="G172" s="3">
        <v>0</v>
      </c>
      <c r="H172" s="3">
        <v>1</v>
      </c>
      <c r="I172" s="3">
        <v>0</v>
      </c>
      <c r="J172" s="3">
        <v>0</v>
      </c>
      <c r="K172" s="3">
        <v>0</v>
      </c>
    </row>
    <row r="173" spans="1:11" x14ac:dyDescent="0.45">
      <c r="A173">
        <f t="shared" si="3"/>
        <v>169</v>
      </c>
      <c r="B173" s="12">
        <v>18</v>
      </c>
      <c r="C173" s="6">
        <v>41</v>
      </c>
      <c r="D173" s="3">
        <v>1</v>
      </c>
      <c r="E173" s="3">
        <v>0</v>
      </c>
      <c r="F173" s="3">
        <v>1</v>
      </c>
      <c r="G173" s="3">
        <v>0</v>
      </c>
      <c r="H173" s="3">
        <v>1</v>
      </c>
      <c r="I173" s="3">
        <v>0</v>
      </c>
      <c r="J173" s="3">
        <v>0</v>
      </c>
      <c r="K173" s="3">
        <v>1</v>
      </c>
    </row>
    <row r="174" spans="1:11" x14ac:dyDescent="0.45">
      <c r="A174">
        <f t="shared" si="3"/>
        <v>170</v>
      </c>
      <c r="B174" s="12">
        <v>18</v>
      </c>
      <c r="C174" s="6">
        <v>42</v>
      </c>
      <c r="D174" s="3">
        <v>1</v>
      </c>
      <c r="E174" s="3">
        <v>0</v>
      </c>
      <c r="F174" s="3">
        <v>1</v>
      </c>
      <c r="G174" s="3">
        <v>0</v>
      </c>
      <c r="H174" s="3">
        <v>1</v>
      </c>
      <c r="I174" s="3">
        <v>0</v>
      </c>
      <c r="J174" s="3">
        <v>1</v>
      </c>
      <c r="K174" s="3">
        <v>0</v>
      </c>
    </row>
    <row r="175" spans="1:11" x14ac:dyDescent="0.45">
      <c r="A175">
        <f t="shared" si="3"/>
        <v>171</v>
      </c>
      <c r="B175" s="12">
        <v>18</v>
      </c>
      <c r="C175" s="6">
        <v>43</v>
      </c>
      <c r="D175" s="3">
        <v>1</v>
      </c>
      <c r="E175" s="3">
        <v>0</v>
      </c>
      <c r="F175" s="3">
        <v>1</v>
      </c>
      <c r="G175" s="3">
        <v>0</v>
      </c>
      <c r="H175" s="3">
        <v>1</v>
      </c>
      <c r="I175" s="3">
        <v>0</v>
      </c>
      <c r="J175" s="3">
        <v>1</v>
      </c>
      <c r="K175" s="3">
        <v>1</v>
      </c>
    </row>
    <row r="176" spans="1:11" x14ac:dyDescent="0.45">
      <c r="A176">
        <f t="shared" si="3"/>
        <v>172</v>
      </c>
      <c r="B176" s="12">
        <v>18</v>
      </c>
      <c r="C176" s="6">
        <v>44</v>
      </c>
      <c r="D176" s="3">
        <v>1</v>
      </c>
      <c r="E176" s="3">
        <v>0</v>
      </c>
      <c r="F176" s="3">
        <v>1</v>
      </c>
      <c r="G176" s="3">
        <v>0</v>
      </c>
      <c r="H176" s="3">
        <v>1</v>
      </c>
      <c r="I176" s="3">
        <v>1</v>
      </c>
      <c r="J176" s="3">
        <v>0</v>
      </c>
      <c r="K176" s="3">
        <v>0</v>
      </c>
    </row>
    <row r="177" spans="1:11" x14ac:dyDescent="0.45">
      <c r="A177">
        <f t="shared" si="3"/>
        <v>173</v>
      </c>
      <c r="B177" s="12">
        <v>18</v>
      </c>
      <c r="C177" s="6">
        <v>45</v>
      </c>
      <c r="D177" s="3">
        <v>1</v>
      </c>
      <c r="E177" s="3">
        <v>0</v>
      </c>
      <c r="F177" s="3">
        <v>1</v>
      </c>
      <c r="G177" s="3">
        <v>0</v>
      </c>
      <c r="H177" s="3">
        <v>1</v>
      </c>
      <c r="I177" s="3">
        <v>1</v>
      </c>
      <c r="J177" s="3">
        <v>0</v>
      </c>
      <c r="K177" s="3">
        <v>1</v>
      </c>
    </row>
    <row r="178" spans="1:11" x14ac:dyDescent="0.45">
      <c r="A178">
        <f t="shared" si="3"/>
        <v>174</v>
      </c>
      <c r="B178" s="12">
        <v>18</v>
      </c>
      <c r="C178" s="6">
        <v>46</v>
      </c>
      <c r="D178" s="3">
        <v>1</v>
      </c>
      <c r="E178" s="3">
        <v>0</v>
      </c>
      <c r="F178" s="3">
        <v>1</v>
      </c>
      <c r="G178" s="3">
        <v>0</v>
      </c>
      <c r="H178" s="3">
        <v>1</v>
      </c>
      <c r="I178" s="3">
        <v>1</v>
      </c>
      <c r="J178" s="3">
        <v>1</v>
      </c>
      <c r="K178" s="3">
        <v>0</v>
      </c>
    </row>
    <row r="179" spans="1:11" x14ac:dyDescent="0.45">
      <c r="A179">
        <f t="shared" si="3"/>
        <v>175</v>
      </c>
      <c r="B179" s="12">
        <v>18</v>
      </c>
      <c r="C179" s="6">
        <v>47</v>
      </c>
      <c r="D179" s="3">
        <v>1</v>
      </c>
      <c r="E179" s="3">
        <v>0</v>
      </c>
      <c r="F179" s="3">
        <v>1</v>
      </c>
      <c r="G179" s="3">
        <v>0</v>
      </c>
      <c r="H179" s="3">
        <v>1</v>
      </c>
      <c r="I179" s="3">
        <v>1</v>
      </c>
      <c r="J179" s="3">
        <v>1</v>
      </c>
      <c r="K179" s="3">
        <v>1</v>
      </c>
    </row>
    <row r="180" spans="1:11" x14ac:dyDescent="0.45">
      <c r="A180">
        <f t="shared" si="3"/>
        <v>176</v>
      </c>
      <c r="B180" s="12">
        <v>18</v>
      </c>
      <c r="C180" s="6">
        <v>48</v>
      </c>
      <c r="D180" s="3">
        <v>1</v>
      </c>
      <c r="E180" s="3">
        <v>0</v>
      </c>
      <c r="F180" s="3">
        <v>1</v>
      </c>
      <c r="G180" s="3">
        <v>1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45">
      <c r="A181">
        <f t="shared" si="3"/>
        <v>177</v>
      </c>
      <c r="B181" s="12">
        <v>18</v>
      </c>
      <c r="C181" s="6">
        <v>49</v>
      </c>
      <c r="D181" s="3">
        <v>1</v>
      </c>
      <c r="E181" s="3">
        <v>0</v>
      </c>
      <c r="F181" s="3">
        <v>1</v>
      </c>
      <c r="G181" s="3">
        <v>1</v>
      </c>
      <c r="H181" s="3">
        <v>0</v>
      </c>
      <c r="I181" s="3">
        <v>0</v>
      </c>
      <c r="J181" s="3">
        <v>0</v>
      </c>
      <c r="K181" s="3">
        <v>1</v>
      </c>
    </row>
    <row r="182" spans="1:11" x14ac:dyDescent="0.45">
      <c r="A182">
        <f t="shared" si="3"/>
        <v>178</v>
      </c>
      <c r="B182" s="12">
        <v>18</v>
      </c>
      <c r="C182" s="6">
        <v>50</v>
      </c>
      <c r="D182" s="3">
        <v>1</v>
      </c>
      <c r="E182" s="3">
        <v>0</v>
      </c>
      <c r="F182" s="3">
        <v>1</v>
      </c>
      <c r="G182" s="3">
        <v>1</v>
      </c>
      <c r="H182" s="3">
        <v>0</v>
      </c>
      <c r="I182" s="3">
        <v>0</v>
      </c>
      <c r="J182" s="3">
        <v>1</v>
      </c>
      <c r="K182" s="3">
        <v>0</v>
      </c>
    </row>
    <row r="183" spans="1:11" x14ac:dyDescent="0.45">
      <c r="A183">
        <f t="shared" si="3"/>
        <v>179</v>
      </c>
      <c r="B183" s="12">
        <v>18</v>
      </c>
      <c r="C183" s="6">
        <v>51</v>
      </c>
      <c r="D183" s="3">
        <v>1</v>
      </c>
      <c r="E183" s="3">
        <v>0</v>
      </c>
      <c r="F183" s="3">
        <v>1</v>
      </c>
      <c r="G183" s="3">
        <v>1</v>
      </c>
      <c r="H183" s="3">
        <v>0</v>
      </c>
      <c r="I183" s="3">
        <v>0</v>
      </c>
      <c r="J183" s="3">
        <v>1</v>
      </c>
      <c r="K183" s="3">
        <v>1</v>
      </c>
    </row>
    <row r="184" spans="1:11" x14ac:dyDescent="0.45">
      <c r="A184">
        <f t="shared" si="3"/>
        <v>180</v>
      </c>
      <c r="B184" s="12">
        <v>18</v>
      </c>
      <c r="C184" s="6">
        <v>52</v>
      </c>
      <c r="D184" s="3">
        <v>1</v>
      </c>
      <c r="E184" s="3">
        <v>0</v>
      </c>
      <c r="F184" s="3">
        <v>1</v>
      </c>
      <c r="G184" s="3">
        <v>1</v>
      </c>
      <c r="H184" s="3">
        <v>0</v>
      </c>
      <c r="I184" s="3">
        <v>1</v>
      </c>
      <c r="J184" s="3">
        <v>0</v>
      </c>
      <c r="K184" s="3">
        <v>0</v>
      </c>
    </row>
    <row r="185" spans="1:11" x14ac:dyDescent="0.45">
      <c r="A185">
        <f t="shared" si="3"/>
        <v>181</v>
      </c>
      <c r="B185" s="12">
        <v>18</v>
      </c>
      <c r="C185" s="6">
        <v>53</v>
      </c>
      <c r="D185" s="3">
        <v>1</v>
      </c>
      <c r="E185" s="3">
        <v>0</v>
      </c>
      <c r="F185" s="3">
        <v>1</v>
      </c>
      <c r="G185" s="3">
        <v>1</v>
      </c>
      <c r="H185" s="3">
        <v>0</v>
      </c>
      <c r="I185" s="3">
        <v>1</v>
      </c>
      <c r="J185" s="3">
        <v>0</v>
      </c>
      <c r="K185" s="3">
        <v>1</v>
      </c>
    </row>
    <row r="186" spans="1:11" x14ac:dyDescent="0.45">
      <c r="A186">
        <f t="shared" si="3"/>
        <v>182</v>
      </c>
      <c r="B186" s="12">
        <v>18</v>
      </c>
      <c r="C186" s="6">
        <v>54</v>
      </c>
      <c r="D186" s="3">
        <v>1</v>
      </c>
      <c r="E186" s="3">
        <v>0</v>
      </c>
      <c r="F186" s="3">
        <v>1</v>
      </c>
      <c r="G186" s="3">
        <v>1</v>
      </c>
      <c r="H186" s="3">
        <v>0</v>
      </c>
      <c r="I186" s="3">
        <v>1</v>
      </c>
      <c r="J186" s="3">
        <v>1</v>
      </c>
      <c r="K186" s="3">
        <v>0</v>
      </c>
    </row>
    <row r="187" spans="1:11" x14ac:dyDescent="0.45">
      <c r="A187">
        <f t="shared" si="3"/>
        <v>183</v>
      </c>
      <c r="B187" s="12">
        <v>18</v>
      </c>
      <c r="C187" s="6">
        <v>55</v>
      </c>
      <c r="D187" s="3">
        <v>1</v>
      </c>
      <c r="E187" s="3">
        <v>0</v>
      </c>
      <c r="F187" s="3">
        <v>1</v>
      </c>
      <c r="G187" s="3">
        <v>1</v>
      </c>
      <c r="H187" s="3">
        <v>0</v>
      </c>
      <c r="I187" s="3">
        <v>1</v>
      </c>
      <c r="J187" s="3">
        <v>1</v>
      </c>
      <c r="K187" s="3">
        <v>1</v>
      </c>
    </row>
    <row r="188" spans="1:11" x14ac:dyDescent="0.45">
      <c r="A188">
        <f t="shared" si="3"/>
        <v>184</v>
      </c>
      <c r="B188" s="12">
        <v>18</v>
      </c>
      <c r="C188" s="6">
        <v>56</v>
      </c>
      <c r="D188" s="3">
        <v>1</v>
      </c>
      <c r="E188" s="3">
        <v>0</v>
      </c>
      <c r="F188" s="3">
        <v>1</v>
      </c>
      <c r="G188" s="3">
        <v>1</v>
      </c>
      <c r="H188" s="3">
        <v>1</v>
      </c>
      <c r="I188" s="3">
        <v>0</v>
      </c>
      <c r="J188" s="3">
        <v>0</v>
      </c>
      <c r="K188" s="3">
        <v>0</v>
      </c>
    </row>
    <row r="189" spans="1:11" x14ac:dyDescent="0.45">
      <c r="A189">
        <f t="shared" si="3"/>
        <v>185</v>
      </c>
      <c r="B189" s="12">
        <v>18</v>
      </c>
      <c r="C189" s="6">
        <v>57</v>
      </c>
      <c r="D189" s="3">
        <v>1</v>
      </c>
      <c r="E189" s="3">
        <v>0</v>
      </c>
      <c r="F189" s="3">
        <v>1</v>
      </c>
      <c r="G189" s="3">
        <v>1</v>
      </c>
      <c r="H189" s="3">
        <v>1</v>
      </c>
      <c r="I189" s="3">
        <v>0</v>
      </c>
      <c r="J189" s="3">
        <v>0</v>
      </c>
      <c r="K189" s="3">
        <v>1</v>
      </c>
    </row>
    <row r="190" spans="1:11" x14ac:dyDescent="0.45">
      <c r="A190">
        <f t="shared" si="3"/>
        <v>186</v>
      </c>
      <c r="B190" s="12">
        <v>18</v>
      </c>
      <c r="C190" s="6">
        <v>58</v>
      </c>
      <c r="D190" s="3">
        <v>1</v>
      </c>
      <c r="E190" s="3">
        <v>0</v>
      </c>
      <c r="F190" s="3">
        <v>1</v>
      </c>
      <c r="G190" s="3">
        <v>1</v>
      </c>
      <c r="H190" s="3">
        <v>1</v>
      </c>
      <c r="I190" s="3">
        <v>0</v>
      </c>
      <c r="J190" s="3">
        <v>1</v>
      </c>
      <c r="K190" s="3">
        <v>0</v>
      </c>
    </row>
    <row r="191" spans="1:11" x14ac:dyDescent="0.45">
      <c r="A191">
        <f t="shared" si="3"/>
        <v>187</v>
      </c>
      <c r="B191" s="12">
        <v>18</v>
      </c>
      <c r="C191" s="6">
        <v>59</v>
      </c>
      <c r="D191" s="3">
        <v>1</v>
      </c>
      <c r="E191" s="3">
        <v>0</v>
      </c>
      <c r="F191" s="3">
        <v>1</v>
      </c>
      <c r="G191" s="3">
        <v>1</v>
      </c>
      <c r="H191" s="3">
        <v>1</v>
      </c>
      <c r="I191" s="3">
        <v>0</v>
      </c>
      <c r="J191" s="3">
        <v>1</v>
      </c>
      <c r="K191" s="3">
        <v>1</v>
      </c>
    </row>
    <row r="192" spans="1:11" x14ac:dyDescent="0.45">
      <c r="A192">
        <f t="shared" si="3"/>
        <v>188</v>
      </c>
      <c r="B192" s="12">
        <v>18</v>
      </c>
      <c r="C192" s="6">
        <v>60</v>
      </c>
      <c r="D192" s="3">
        <v>1</v>
      </c>
      <c r="E192" s="3">
        <v>0</v>
      </c>
      <c r="F192" s="3">
        <v>1</v>
      </c>
      <c r="G192" s="3">
        <v>1</v>
      </c>
      <c r="H192" s="3">
        <v>1</v>
      </c>
      <c r="I192" s="3">
        <v>1</v>
      </c>
      <c r="J192" s="3">
        <v>0</v>
      </c>
      <c r="K192" s="3">
        <v>0</v>
      </c>
    </row>
    <row r="193" spans="1:11" x14ac:dyDescent="0.45">
      <c r="A193">
        <f t="shared" si="3"/>
        <v>189</v>
      </c>
      <c r="B193" s="12">
        <v>18</v>
      </c>
      <c r="C193" s="6">
        <v>61</v>
      </c>
      <c r="D193" s="3">
        <v>1</v>
      </c>
      <c r="E193" s="3">
        <v>0</v>
      </c>
      <c r="F193" s="3">
        <v>1</v>
      </c>
      <c r="G193" s="3">
        <v>1</v>
      </c>
      <c r="H193" s="3">
        <v>1</v>
      </c>
      <c r="I193" s="3">
        <v>1</v>
      </c>
      <c r="J193" s="3">
        <v>0</v>
      </c>
      <c r="K193" s="3">
        <v>1</v>
      </c>
    </row>
    <row r="194" spans="1:11" x14ac:dyDescent="0.45">
      <c r="A194">
        <f t="shared" si="3"/>
        <v>190</v>
      </c>
      <c r="B194" s="12">
        <v>18</v>
      </c>
      <c r="C194" s="6">
        <v>62</v>
      </c>
      <c r="D194" s="3">
        <v>1</v>
      </c>
      <c r="E194" s="3">
        <v>0</v>
      </c>
      <c r="F194" s="3">
        <v>1</v>
      </c>
      <c r="G194" s="3">
        <v>1</v>
      </c>
      <c r="H194" s="3">
        <v>1</v>
      </c>
      <c r="I194" s="3">
        <v>1</v>
      </c>
      <c r="J194" s="3">
        <v>1</v>
      </c>
      <c r="K194" s="3">
        <v>0</v>
      </c>
    </row>
    <row r="195" spans="1:11" x14ac:dyDescent="0.45">
      <c r="A195">
        <f t="shared" si="3"/>
        <v>191</v>
      </c>
      <c r="B195" s="12">
        <v>18</v>
      </c>
      <c r="C195" s="6">
        <v>63</v>
      </c>
      <c r="D195" s="3">
        <v>1</v>
      </c>
      <c r="E195" s="3">
        <v>0</v>
      </c>
      <c r="F195" s="3">
        <v>1</v>
      </c>
      <c r="G195" s="3">
        <v>1</v>
      </c>
      <c r="H195" s="3">
        <v>1</v>
      </c>
      <c r="I195" s="3">
        <v>1</v>
      </c>
      <c r="J195" s="3">
        <v>1</v>
      </c>
      <c r="K195" s="3">
        <v>1</v>
      </c>
    </row>
    <row r="196" spans="1:11" x14ac:dyDescent="0.45">
      <c r="A196" s="8">
        <f t="shared" ref="A196:A259" si="4">D196*2^$D$3+E196*2^$E$3+F196*2^$F$3+G196*2^$G$3+H196*2^$H$3+I196*2^$I$3+J196*2^$J$3+K196*2^$K$3</f>
        <v>192</v>
      </c>
      <c r="B196" s="12">
        <v>18</v>
      </c>
      <c r="C196" s="9">
        <v>96</v>
      </c>
      <c r="D196" s="10">
        <v>1</v>
      </c>
      <c r="E196" s="10">
        <v>1</v>
      </c>
      <c r="F196" s="10">
        <v>0</v>
      </c>
      <c r="G196" s="10">
        <v>0</v>
      </c>
      <c r="H196" s="10">
        <v>0</v>
      </c>
      <c r="I196" s="10">
        <v>0</v>
      </c>
      <c r="J196" s="10">
        <v>0</v>
      </c>
      <c r="K196" s="10">
        <v>0</v>
      </c>
    </row>
    <row r="197" spans="1:11" x14ac:dyDescent="0.45">
      <c r="A197">
        <f t="shared" si="4"/>
        <v>193</v>
      </c>
      <c r="B197" s="12">
        <v>18</v>
      </c>
      <c r="C197" s="6">
        <v>97</v>
      </c>
      <c r="D197" s="3">
        <v>1</v>
      </c>
      <c r="E197" s="3">
        <v>1</v>
      </c>
      <c r="F197" s="3">
        <v>0</v>
      </c>
      <c r="G197" s="3">
        <v>0</v>
      </c>
      <c r="H197" s="3">
        <v>0</v>
      </c>
      <c r="I197" s="3">
        <v>0</v>
      </c>
      <c r="J197" s="3">
        <v>0</v>
      </c>
      <c r="K197" s="3">
        <v>1</v>
      </c>
    </row>
    <row r="198" spans="1:11" x14ac:dyDescent="0.45">
      <c r="A198">
        <f t="shared" si="4"/>
        <v>194</v>
      </c>
      <c r="B198" s="12">
        <v>18</v>
      </c>
      <c r="C198" s="6">
        <v>98</v>
      </c>
      <c r="D198" s="3">
        <v>1</v>
      </c>
      <c r="E198" s="3">
        <v>1</v>
      </c>
      <c r="F198" s="3">
        <v>0</v>
      </c>
      <c r="G198" s="3">
        <v>0</v>
      </c>
      <c r="H198" s="3">
        <v>0</v>
      </c>
      <c r="I198" s="3">
        <v>0</v>
      </c>
      <c r="J198" s="3">
        <v>1</v>
      </c>
      <c r="K198" s="3">
        <v>0</v>
      </c>
    </row>
    <row r="199" spans="1:11" x14ac:dyDescent="0.45">
      <c r="A199">
        <f t="shared" si="4"/>
        <v>195</v>
      </c>
      <c r="B199" s="12">
        <v>18</v>
      </c>
      <c r="C199" s="6">
        <v>99</v>
      </c>
      <c r="D199" s="3">
        <v>1</v>
      </c>
      <c r="E199" s="3">
        <v>1</v>
      </c>
      <c r="F199" s="3">
        <v>0</v>
      </c>
      <c r="G199" s="3">
        <v>0</v>
      </c>
      <c r="H199" s="3">
        <v>0</v>
      </c>
      <c r="I199" s="3">
        <v>0</v>
      </c>
      <c r="J199" s="3">
        <v>1</v>
      </c>
      <c r="K199" s="3">
        <v>1</v>
      </c>
    </row>
    <row r="200" spans="1:11" x14ac:dyDescent="0.45">
      <c r="A200">
        <f t="shared" si="4"/>
        <v>196</v>
      </c>
      <c r="B200" s="12">
        <v>18</v>
      </c>
      <c r="C200" s="6">
        <v>100</v>
      </c>
      <c r="D200" s="3">
        <v>1</v>
      </c>
      <c r="E200" s="3">
        <v>1</v>
      </c>
      <c r="F200" s="3">
        <v>0</v>
      </c>
      <c r="G200" s="3">
        <v>0</v>
      </c>
      <c r="H200" s="3">
        <v>0</v>
      </c>
      <c r="I200" s="3">
        <v>1</v>
      </c>
      <c r="J200" s="3">
        <v>0</v>
      </c>
      <c r="K200" s="3">
        <v>0</v>
      </c>
    </row>
    <row r="201" spans="1:11" x14ac:dyDescent="0.45">
      <c r="A201">
        <f t="shared" si="4"/>
        <v>197</v>
      </c>
      <c r="B201" s="12">
        <v>18</v>
      </c>
      <c r="C201" s="6">
        <v>101</v>
      </c>
      <c r="D201" s="3">
        <v>1</v>
      </c>
      <c r="E201" s="3">
        <v>1</v>
      </c>
      <c r="F201" s="3">
        <v>0</v>
      </c>
      <c r="G201" s="3">
        <v>0</v>
      </c>
      <c r="H201" s="3">
        <v>0</v>
      </c>
      <c r="I201" s="3">
        <v>1</v>
      </c>
      <c r="J201" s="3">
        <v>0</v>
      </c>
      <c r="K201" s="3">
        <v>1</v>
      </c>
    </row>
    <row r="202" spans="1:11" x14ac:dyDescent="0.45">
      <c r="A202">
        <f t="shared" si="4"/>
        <v>198</v>
      </c>
      <c r="B202" s="12">
        <v>18</v>
      </c>
      <c r="C202" s="6">
        <v>102</v>
      </c>
      <c r="D202" s="3">
        <v>1</v>
      </c>
      <c r="E202" s="3">
        <v>1</v>
      </c>
      <c r="F202" s="3">
        <v>0</v>
      </c>
      <c r="G202" s="3">
        <v>0</v>
      </c>
      <c r="H202" s="3">
        <v>0</v>
      </c>
      <c r="I202" s="3">
        <v>1</v>
      </c>
      <c r="J202" s="3">
        <v>1</v>
      </c>
      <c r="K202" s="3">
        <v>0</v>
      </c>
    </row>
    <row r="203" spans="1:11" x14ac:dyDescent="0.45">
      <c r="A203">
        <f t="shared" si="4"/>
        <v>199</v>
      </c>
      <c r="B203" s="12">
        <v>18</v>
      </c>
      <c r="C203" s="6">
        <v>103</v>
      </c>
      <c r="D203" s="3">
        <v>1</v>
      </c>
      <c r="E203" s="3">
        <v>1</v>
      </c>
      <c r="F203" s="3">
        <v>0</v>
      </c>
      <c r="G203" s="3">
        <v>0</v>
      </c>
      <c r="H203" s="3">
        <v>0</v>
      </c>
      <c r="I203" s="3">
        <v>1</v>
      </c>
      <c r="J203" s="3">
        <v>1</v>
      </c>
      <c r="K203" s="3">
        <v>1</v>
      </c>
    </row>
    <row r="204" spans="1:11" x14ac:dyDescent="0.45">
      <c r="A204">
        <f t="shared" si="4"/>
        <v>200</v>
      </c>
      <c r="B204" s="12">
        <v>18</v>
      </c>
      <c r="C204" s="6">
        <v>104</v>
      </c>
      <c r="D204" s="3">
        <v>1</v>
      </c>
      <c r="E204" s="3">
        <v>1</v>
      </c>
      <c r="F204" s="3">
        <v>0</v>
      </c>
      <c r="G204" s="3">
        <v>0</v>
      </c>
      <c r="H204" s="3">
        <v>1</v>
      </c>
      <c r="I204" s="3">
        <v>0</v>
      </c>
      <c r="J204" s="3">
        <v>0</v>
      </c>
      <c r="K204" s="3">
        <v>0</v>
      </c>
    </row>
    <row r="205" spans="1:11" x14ac:dyDescent="0.45">
      <c r="A205">
        <f t="shared" si="4"/>
        <v>201</v>
      </c>
      <c r="B205" s="12">
        <v>18</v>
      </c>
      <c r="C205" s="6">
        <v>105</v>
      </c>
      <c r="D205" s="3">
        <v>1</v>
      </c>
      <c r="E205" s="3">
        <v>1</v>
      </c>
      <c r="F205" s="3">
        <v>0</v>
      </c>
      <c r="G205" s="3">
        <v>0</v>
      </c>
      <c r="H205" s="3">
        <v>1</v>
      </c>
      <c r="I205" s="3">
        <v>0</v>
      </c>
      <c r="J205" s="3">
        <v>0</v>
      </c>
      <c r="K205" s="3">
        <v>1</v>
      </c>
    </row>
    <row r="206" spans="1:11" x14ac:dyDescent="0.45">
      <c r="A206">
        <f t="shared" si="4"/>
        <v>202</v>
      </c>
      <c r="B206" s="12">
        <v>18</v>
      </c>
      <c r="C206" s="6">
        <v>106</v>
      </c>
      <c r="D206" s="3">
        <v>1</v>
      </c>
      <c r="E206" s="3">
        <v>1</v>
      </c>
      <c r="F206" s="3">
        <v>0</v>
      </c>
      <c r="G206" s="3">
        <v>0</v>
      </c>
      <c r="H206" s="3">
        <v>1</v>
      </c>
      <c r="I206" s="3">
        <v>0</v>
      </c>
      <c r="J206" s="3">
        <v>1</v>
      </c>
      <c r="K206" s="3">
        <v>0</v>
      </c>
    </row>
    <row r="207" spans="1:11" x14ac:dyDescent="0.45">
      <c r="A207">
        <f t="shared" si="4"/>
        <v>203</v>
      </c>
      <c r="B207" s="12">
        <v>18</v>
      </c>
      <c r="C207" s="6">
        <v>107</v>
      </c>
      <c r="D207" s="3">
        <v>1</v>
      </c>
      <c r="E207" s="3">
        <v>1</v>
      </c>
      <c r="F207" s="3">
        <v>0</v>
      </c>
      <c r="G207" s="3">
        <v>0</v>
      </c>
      <c r="H207" s="3">
        <v>1</v>
      </c>
      <c r="I207" s="3">
        <v>0</v>
      </c>
      <c r="J207" s="3">
        <v>1</v>
      </c>
      <c r="K207" s="3">
        <v>1</v>
      </c>
    </row>
    <row r="208" spans="1:11" x14ac:dyDescent="0.45">
      <c r="A208">
        <f t="shared" si="4"/>
        <v>204</v>
      </c>
      <c r="B208" s="12">
        <v>18</v>
      </c>
      <c r="C208" s="6">
        <v>108</v>
      </c>
      <c r="D208" s="3">
        <v>1</v>
      </c>
      <c r="E208" s="3">
        <v>1</v>
      </c>
      <c r="F208" s="3">
        <v>0</v>
      </c>
      <c r="G208" s="3">
        <v>0</v>
      </c>
      <c r="H208" s="3">
        <v>1</v>
      </c>
      <c r="I208" s="3">
        <v>1</v>
      </c>
      <c r="J208" s="3">
        <v>0</v>
      </c>
      <c r="K208" s="3">
        <v>0</v>
      </c>
    </row>
    <row r="209" spans="1:11" x14ac:dyDescent="0.45">
      <c r="A209">
        <f t="shared" si="4"/>
        <v>205</v>
      </c>
      <c r="B209" s="12">
        <v>18</v>
      </c>
      <c r="C209" s="6">
        <v>109</v>
      </c>
      <c r="D209" s="3">
        <v>1</v>
      </c>
      <c r="E209" s="3">
        <v>1</v>
      </c>
      <c r="F209" s="3">
        <v>0</v>
      </c>
      <c r="G209" s="3">
        <v>0</v>
      </c>
      <c r="H209" s="3">
        <v>1</v>
      </c>
      <c r="I209" s="3">
        <v>1</v>
      </c>
      <c r="J209" s="3">
        <v>0</v>
      </c>
      <c r="K209" s="3">
        <v>1</v>
      </c>
    </row>
    <row r="210" spans="1:11" x14ac:dyDescent="0.45">
      <c r="A210">
        <f t="shared" si="4"/>
        <v>206</v>
      </c>
      <c r="B210" s="12">
        <v>18</v>
      </c>
      <c r="C210" s="6">
        <v>110</v>
      </c>
      <c r="D210" s="3">
        <v>1</v>
      </c>
      <c r="E210" s="3">
        <v>1</v>
      </c>
      <c r="F210" s="3">
        <v>0</v>
      </c>
      <c r="G210" s="3">
        <v>0</v>
      </c>
      <c r="H210" s="3">
        <v>1</v>
      </c>
      <c r="I210" s="3">
        <v>1</v>
      </c>
      <c r="J210" s="3">
        <v>1</v>
      </c>
      <c r="K210" s="3">
        <v>0</v>
      </c>
    </row>
    <row r="211" spans="1:11" x14ac:dyDescent="0.45">
      <c r="A211">
        <f t="shared" si="4"/>
        <v>207</v>
      </c>
      <c r="B211" s="12">
        <v>18</v>
      </c>
      <c r="C211" s="6">
        <v>111</v>
      </c>
      <c r="D211" s="3">
        <v>1</v>
      </c>
      <c r="E211" s="3">
        <v>1</v>
      </c>
      <c r="F211" s="3">
        <v>0</v>
      </c>
      <c r="G211" s="3">
        <v>0</v>
      </c>
      <c r="H211" s="3">
        <v>1</v>
      </c>
      <c r="I211" s="3">
        <v>1</v>
      </c>
      <c r="J211" s="3">
        <v>1</v>
      </c>
      <c r="K211" s="3">
        <v>1</v>
      </c>
    </row>
    <row r="212" spans="1:11" x14ac:dyDescent="0.45">
      <c r="A212">
        <f t="shared" si="4"/>
        <v>208</v>
      </c>
      <c r="B212" s="12">
        <v>18</v>
      </c>
      <c r="C212" s="6">
        <v>112</v>
      </c>
      <c r="D212" s="3">
        <v>1</v>
      </c>
      <c r="E212" s="3">
        <v>1</v>
      </c>
      <c r="F212" s="3">
        <v>0</v>
      </c>
      <c r="G212" s="3">
        <v>1</v>
      </c>
      <c r="H212" s="3">
        <v>0</v>
      </c>
      <c r="I212" s="3">
        <v>0</v>
      </c>
      <c r="J212" s="3">
        <v>0</v>
      </c>
      <c r="K212" s="3">
        <v>0</v>
      </c>
    </row>
    <row r="213" spans="1:11" x14ac:dyDescent="0.45">
      <c r="A213">
        <f t="shared" si="4"/>
        <v>209</v>
      </c>
      <c r="B213" s="12">
        <v>18</v>
      </c>
      <c r="C213" s="6">
        <v>113</v>
      </c>
      <c r="D213" s="3">
        <v>1</v>
      </c>
      <c r="E213" s="3">
        <v>1</v>
      </c>
      <c r="F213" s="3">
        <v>0</v>
      </c>
      <c r="G213" s="3">
        <v>1</v>
      </c>
      <c r="H213" s="3">
        <v>0</v>
      </c>
      <c r="I213" s="3">
        <v>0</v>
      </c>
      <c r="J213" s="3">
        <v>0</v>
      </c>
      <c r="K213" s="3">
        <v>1</v>
      </c>
    </row>
    <row r="214" spans="1:11" x14ac:dyDescent="0.45">
      <c r="A214">
        <f t="shared" si="4"/>
        <v>210</v>
      </c>
      <c r="B214" s="12">
        <v>18</v>
      </c>
      <c r="C214" s="6">
        <v>114</v>
      </c>
      <c r="D214" s="3">
        <v>1</v>
      </c>
      <c r="E214" s="3">
        <v>1</v>
      </c>
      <c r="F214" s="3">
        <v>0</v>
      </c>
      <c r="G214" s="3">
        <v>1</v>
      </c>
      <c r="H214" s="3">
        <v>0</v>
      </c>
      <c r="I214" s="3">
        <v>0</v>
      </c>
      <c r="J214" s="3">
        <v>1</v>
      </c>
      <c r="K214" s="3">
        <v>0</v>
      </c>
    </row>
    <row r="215" spans="1:11" x14ac:dyDescent="0.45">
      <c r="A215">
        <f t="shared" si="4"/>
        <v>211</v>
      </c>
      <c r="B215" s="12">
        <v>18</v>
      </c>
      <c r="C215" s="6">
        <v>115</v>
      </c>
      <c r="D215" s="3">
        <v>1</v>
      </c>
      <c r="E215" s="3">
        <v>1</v>
      </c>
      <c r="F215" s="3">
        <v>0</v>
      </c>
      <c r="G215" s="3">
        <v>1</v>
      </c>
      <c r="H215" s="3">
        <v>0</v>
      </c>
      <c r="I215" s="3">
        <v>0</v>
      </c>
      <c r="J215" s="3">
        <v>1</v>
      </c>
      <c r="K215" s="3">
        <v>1</v>
      </c>
    </row>
    <row r="216" spans="1:11" x14ac:dyDescent="0.45">
      <c r="A216">
        <f t="shared" si="4"/>
        <v>212</v>
      </c>
      <c r="B216" s="12">
        <v>18</v>
      </c>
      <c r="C216" s="6">
        <v>116</v>
      </c>
      <c r="D216" s="3">
        <v>1</v>
      </c>
      <c r="E216" s="3">
        <v>1</v>
      </c>
      <c r="F216" s="3">
        <v>0</v>
      </c>
      <c r="G216" s="3">
        <v>1</v>
      </c>
      <c r="H216" s="3">
        <v>0</v>
      </c>
      <c r="I216" s="3">
        <v>1</v>
      </c>
      <c r="J216" s="3">
        <v>0</v>
      </c>
      <c r="K216" s="3">
        <v>0</v>
      </c>
    </row>
    <row r="217" spans="1:11" x14ac:dyDescent="0.45">
      <c r="A217">
        <f t="shared" si="4"/>
        <v>213</v>
      </c>
      <c r="B217" s="12">
        <v>18</v>
      </c>
      <c r="C217" s="6">
        <v>117</v>
      </c>
      <c r="D217" s="3">
        <v>1</v>
      </c>
      <c r="E217" s="3">
        <v>1</v>
      </c>
      <c r="F217" s="3">
        <v>0</v>
      </c>
      <c r="G217" s="3">
        <v>1</v>
      </c>
      <c r="H217" s="3">
        <v>0</v>
      </c>
      <c r="I217" s="3">
        <v>1</v>
      </c>
      <c r="J217" s="3">
        <v>0</v>
      </c>
      <c r="K217" s="3">
        <v>1</v>
      </c>
    </row>
    <row r="218" spans="1:11" x14ac:dyDescent="0.45">
      <c r="A218">
        <f t="shared" si="4"/>
        <v>214</v>
      </c>
      <c r="B218" s="12">
        <v>18</v>
      </c>
      <c r="C218" s="6">
        <v>118</v>
      </c>
      <c r="D218" s="3">
        <v>1</v>
      </c>
      <c r="E218" s="3">
        <v>1</v>
      </c>
      <c r="F218" s="3">
        <v>0</v>
      </c>
      <c r="G218" s="3">
        <v>1</v>
      </c>
      <c r="H218" s="3">
        <v>0</v>
      </c>
      <c r="I218" s="3">
        <v>1</v>
      </c>
      <c r="J218" s="3">
        <v>1</v>
      </c>
      <c r="K218" s="3">
        <v>0</v>
      </c>
    </row>
    <row r="219" spans="1:11" x14ac:dyDescent="0.45">
      <c r="A219">
        <f t="shared" si="4"/>
        <v>215</v>
      </c>
      <c r="B219" s="12">
        <v>18</v>
      </c>
      <c r="C219" s="6">
        <v>119</v>
      </c>
      <c r="D219" s="3">
        <v>1</v>
      </c>
      <c r="E219" s="3">
        <v>1</v>
      </c>
      <c r="F219" s="3">
        <v>0</v>
      </c>
      <c r="G219" s="3">
        <v>1</v>
      </c>
      <c r="H219" s="3">
        <v>0</v>
      </c>
      <c r="I219" s="3">
        <v>1</v>
      </c>
      <c r="J219" s="3">
        <v>1</v>
      </c>
      <c r="K219" s="3">
        <v>1</v>
      </c>
    </row>
    <row r="220" spans="1:11" x14ac:dyDescent="0.45">
      <c r="A220">
        <f t="shared" si="4"/>
        <v>216</v>
      </c>
      <c r="B220" s="12">
        <v>18</v>
      </c>
      <c r="C220" s="6">
        <v>120</v>
      </c>
      <c r="D220" s="3">
        <v>1</v>
      </c>
      <c r="E220" s="3">
        <v>1</v>
      </c>
      <c r="F220" s="3">
        <v>0</v>
      </c>
      <c r="G220" s="3">
        <v>1</v>
      </c>
      <c r="H220" s="3">
        <v>1</v>
      </c>
      <c r="I220" s="3">
        <v>0</v>
      </c>
      <c r="J220" s="3">
        <v>0</v>
      </c>
      <c r="K220" s="3">
        <v>0</v>
      </c>
    </row>
    <row r="221" spans="1:11" x14ac:dyDescent="0.45">
      <c r="A221">
        <f t="shared" si="4"/>
        <v>217</v>
      </c>
      <c r="B221" s="12">
        <v>18</v>
      </c>
      <c r="C221" s="6">
        <v>121</v>
      </c>
      <c r="D221" s="3">
        <v>1</v>
      </c>
      <c r="E221" s="3">
        <v>1</v>
      </c>
      <c r="F221" s="3">
        <v>0</v>
      </c>
      <c r="G221" s="3">
        <v>1</v>
      </c>
      <c r="H221" s="3">
        <v>1</v>
      </c>
      <c r="I221" s="3">
        <v>0</v>
      </c>
      <c r="J221" s="3">
        <v>0</v>
      </c>
      <c r="K221" s="3">
        <v>1</v>
      </c>
    </row>
    <row r="222" spans="1:11" x14ac:dyDescent="0.45">
      <c r="A222">
        <f t="shared" si="4"/>
        <v>218</v>
      </c>
      <c r="B222" s="12">
        <v>18</v>
      </c>
      <c r="C222" s="6">
        <v>122</v>
      </c>
      <c r="D222" s="3">
        <v>1</v>
      </c>
      <c r="E222" s="3">
        <v>1</v>
      </c>
      <c r="F222" s="3">
        <v>0</v>
      </c>
      <c r="G222" s="3">
        <v>1</v>
      </c>
      <c r="H222" s="3">
        <v>1</v>
      </c>
      <c r="I222" s="3">
        <v>0</v>
      </c>
      <c r="J222" s="3">
        <v>1</v>
      </c>
      <c r="K222" s="3">
        <v>0</v>
      </c>
    </row>
    <row r="223" spans="1:11" x14ac:dyDescent="0.45">
      <c r="A223">
        <f t="shared" si="4"/>
        <v>219</v>
      </c>
      <c r="B223" s="12">
        <v>18</v>
      </c>
      <c r="C223" s="6">
        <v>123</v>
      </c>
      <c r="D223" s="3">
        <v>1</v>
      </c>
      <c r="E223" s="3">
        <v>1</v>
      </c>
      <c r="F223" s="3">
        <v>0</v>
      </c>
      <c r="G223" s="3">
        <v>1</v>
      </c>
      <c r="H223" s="3">
        <v>1</v>
      </c>
      <c r="I223" s="3">
        <v>0</v>
      </c>
      <c r="J223" s="3">
        <v>1</v>
      </c>
      <c r="K223" s="3">
        <v>1</v>
      </c>
    </row>
    <row r="224" spans="1:11" x14ac:dyDescent="0.45">
      <c r="A224">
        <f t="shared" si="4"/>
        <v>220</v>
      </c>
      <c r="B224" s="12">
        <v>18</v>
      </c>
      <c r="C224" s="6">
        <v>124</v>
      </c>
      <c r="D224" s="3">
        <v>1</v>
      </c>
      <c r="E224" s="3">
        <v>1</v>
      </c>
      <c r="F224" s="3">
        <v>0</v>
      </c>
      <c r="G224" s="3">
        <v>1</v>
      </c>
      <c r="H224" s="3">
        <v>1</v>
      </c>
      <c r="I224" s="3">
        <v>1</v>
      </c>
      <c r="J224" s="3">
        <v>0</v>
      </c>
      <c r="K224" s="3">
        <v>0</v>
      </c>
    </row>
    <row r="225" spans="1:11" x14ac:dyDescent="0.45">
      <c r="A225">
        <f t="shared" si="4"/>
        <v>221</v>
      </c>
      <c r="B225" s="12">
        <v>18</v>
      </c>
      <c r="C225" s="6">
        <v>125</v>
      </c>
      <c r="D225" s="3">
        <v>1</v>
      </c>
      <c r="E225" s="3">
        <v>1</v>
      </c>
      <c r="F225" s="3">
        <v>0</v>
      </c>
      <c r="G225" s="3">
        <v>1</v>
      </c>
      <c r="H225" s="3">
        <v>1</v>
      </c>
      <c r="I225" s="3">
        <v>1</v>
      </c>
      <c r="J225" s="3">
        <v>0</v>
      </c>
      <c r="K225" s="3">
        <v>1</v>
      </c>
    </row>
    <row r="226" spans="1:11" x14ac:dyDescent="0.45">
      <c r="A226">
        <f t="shared" si="4"/>
        <v>222</v>
      </c>
      <c r="B226" s="12">
        <v>18</v>
      </c>
      <c r="C226" s="6">
        <v>126</v>
      </c>
      <c r="D226" s="3">
        <v>1</v>
      </c>
      <c r="E226" s="3">
        <v>1</v>
      </c>
      <c r="F226" s="3">
        <v>0</v>
      </c>
      <c r="G226" s="3">
        <v>1</v>
      </c>
      <c r="H226" s="3">
        <v>1</v>
      </c>
      <c r="I226" s="3">
        <v>1</v>
      </c>
      <c r="J226" s="3">
        <v>1</v>
      </c>
      <c r="K226" s="3">
        <v>0</v>
      </c>
    </row>
    <row r="227" spans="1:11" x14ac:dyDescent="0.45">
      <c r="A227">
        <f t="shared" si="4"/>
        <v>223</v>
      </c>
      <c r="B227" s="12">
        <v>18</v>
      </c>
      <c r="C227" s="6">
        <v>127</v>
      </c>
      <c r="D227" s="3">
        <v>1</v>
      </c>
      <c r="E227" s="3">
        <v>1</v>
      </c>
      <c r="F227" s="3">
        <v>0</v>
      </c>
      <c r="G227" s="3">
        <v>1</v>
      </c>
      <c r="H227" s="3">
        <v>1</v>
      </c>
      <c r="I227" s="3">
        <v>1</v>
      </c>
      <c r="J227" s="3">
        <v>1</v>
      </c>
      <c r="K227" s="3">
        <v>1</v>
      </c>
    </row>
    <row r="228" spans="1:11" x14ac:dyDescent="0.45">
      <c r="A228" s="8">
        <f t="shared" si="4"/>
        <v>224</v>
      </c>
      <c r="B228" s="12">
        <v>18</v>
      </c>
      <c r="C228" s="9">
        <v>160</v>
      </c>
      <c r="D228" s="10">
        <v>1</v>
      </c>
      <c r="E228" s="10">
        <v>1</v>
      </c>
      <c r="F228" s="10">
        <v>1</v>
      </c>
      <c r="G228" s="10">
        <v>0</v>
      </c>
      <c r="H228" s="10">
        <v>0</v>
      </c>
      <c r="I228" s="10">
        <v>0</v>
      </c>
      <c r="J228" s="10">
        <v>0</v>
      </c>
      <c r="K228" s="10">
        <v>0</v>
      </c>
    </row>
    <row r="229" spans="1:11" x14ac:dyDescent="0.45">
      <c r="A229">
        <f t="shared" si="4"/>
        <v>225</v>
      </c>
      <c r="B229" s="12">
        <v>18</v>
      </c>
      <c r="C229" s="6">
        <v>161</v>
      </c>
      <c r="D229" s="3">
        <v>1</v>
      </c>
      <c r="E229" s="3">
        <v>1</v>
      </c>
      <c r="F229" s="3">
        <v>1</v>
      </c>
      <c r="G229" s="3">
        <v>0</v>
      </c>
      <c r="H229" s="3">
        <v>0</v>
      </c>
      <c r="I229" s="3">
        <v>0</v>
      </c>
      <c r="J229" s="3">
        <v>0</v>
      </c>
      <c r="K229" s="3">
        <v>1</v>
      </c>
    </row>
    <row r="230" spans="1:11" x14ac:dyDescent="0.45">
      <c r="A230">
        <f t="shared" si="4"/>
        <v>226</v>
      </c>
      <c r="B230" s="12">
        <v>18</v>
      </c>
      <c r="C230" s="6">
        <v>162</v>
      </c>
      <c r="D230" s="3">
        <v>1</v>
      </c>
      <c r="E230" s="3">
        <v>1</v>
      </c>
      <c r="F230" s="3">
        <v>1</v>
      </c>
      <c r="G230" s="3">
        <v>0</v>
      </c>
      <c r="H230" s="3">
        <v>0</v>
      </c>
      <c r="I230" s="3">
        <v>0</v>
      </c>
      <c r="J230" s="3">
        <v>1</v>
      </c>
      <c r="K230" s="3">
        <v>0</v>
      </c>
    </row>
    <row r="231" spans="1:11" x14ac:dyDescent="0.45">
      <c r="A231">
        <f t="shared" si="4"/>
        <v>227</v>
      </c>
      <c r="B231" s="12">
        <v>18</v>
      </c>
      <c r="C231" s="6">
        <v>163</v>
      </c>
      <c r="D231" s="3">
        <v>1</v>
      </c>
      <c r="E231" s="3">
        <v>1</v>
      </c>
      <c r="F231" s="3">
        <v>1</v>
      </c>
      <c r="G231" s="3">
        <v>0</v>
      </c>
      <c r="H231" s="3">
        <v>0</v>
      </c>
      <c r="I231" s="3">
        <v>0</v>
      </c>
      <c r="J231" s="3">
        <v>1</v>
      </c>
      <c r="K231" s="3">
        <v>1</v>
      </c>
    </row>
    <row r="232" spans="1:11" x14ac:dyDescent="0.45">
      <c r="A232">
        <f t="shared" si="4"/>
        <v>228</v>
      </c>
      <c r="B232" s="12">
        <v>18</v>
      </c>
      <c r="C232" s="6">
        <v>164</v>
      </c>
      <c r="D232" s="3">
        <v>1</v>
      </c>
      <c r="E232" s="3">
        <v>1</v>
      </c>
      <c r="F232" s="3">
        <v>1</v>
      </c>
      <c r="G232" s="3">
        <v>0</v>
      </c>
      <c r="H232" s="3">
        <v>0</v>
      </c>
      <c r="I232" s="3">
        <v>1</v>
      </c>
      <c r="J232" s="3">
        <v>0</v>
      </c>
      <c r="K232" s="3">
        <v>0</v>
      </c>
    </row>
    <row r="233" spans="1:11" x14ac:dyDescent="0.45">
      <c r="A233">
        <f t="shared" si="4"/>
        <v>229</v>
      </c>
      <c r="B233" s="12">
        <v>18</v>
      </c>
      <c r="C233" s="6">
        <v>165</v>
      </c>
      <c r="D233" s="3">
        <v>1</v>
      </c>
      <c r="E233" s="3">
        <v>1</v>
      </c>
      <c r="F233" s="3">
        <v>1</v>
      </c>
      <c r="G233" s="3">
        <v>0</v>
      </c>
      <c r="H233" s="3">
        <v>0</v>
      </c>
      <c r="I233" s="3">
        <v>1</v>
      </c>
      <c r="J233" s="3">
        <v>0</v>
      </c>
      <c r="K233" s="3">
        <v>1</v>
      </c>
    </row>
    <row r="234" spans="1:11" x14ac:dyDescent="0.45">
      <c r="A234">
        <f t="shared" si="4"/>
        <v>230</v>
      </c>
      <c r="B234" s="12">
        <v>18</v>
      </c>
      <c r="C234" s="6">
        <v>166</v>
      </c>
      <c r="D234" s="3">
        <v>1</v>
      </c>
      <c r="E234" s="3">
        <v>1</v>
      </c>
      <c r="F234" s="3">
        <v>1</v>
      </c>
      <c r="G234" s="3">
        <v>0</v>
      </c>
      <c r="H234" s="3">
        <v>0</v>
      </c>
      <c r="I234" s="3">
        <v>1</v>
      </c>
      <c r="J234" s="3">
        <v>1</v>
      </c>
      <c r="K234" s="3">
        <v>0</v>
      </c>
    </row>
    <row r="235" spans="1:11" x14ac:dyDescent="0.45">
      <c r="A235">
        <f t="shared" si="4"/>
        <v>231</v>
      </c>
      <c r="B235" s="12">
        <v>18</v>
      </c>
      <c r="C235" s="6">
        <v>167</v>
      </c>
      <c r="D235" s="3">
        <v>1</v>
      </c>
      <c r="E235" s="3">
        <v>1</v>
      </c>
      <c r="F235" s="3">
        <v>1</v>
      </c>
      <c r="G235" s="3">
        <v>0</v>
      </c>
      <c r="H235" s="3">
        <v>0</v>
      </c>
      <c r="I235" s="3">
        <v>1</v>
      </c>
      <c r="J235" s="3">
        <v>1</v>
      </c>
      <c r="K235" s="3">
        <v>1</v>
      </c>
    </row>
    <row r="236" spans="1:11" x14ac:dyDescent="0.45">
      <c r="A236">
        <f t="shared" si="4"/>
        <v>232</v>
      </c>
      <c r="B236" s="12">
        <v>18</v>
      </c>
      <c r="C236" s="6">
        <v>168</v>
      </c>
      <c r="D236" s="3">
        <v>1</v>
      </c>
      <c r="E236" s="3">
        <v>1</v>
      </c>
      <c r="F236" s="3">
        <v>1</v>
      </c>
      <c r="G236" s="3">
        <v>0</v>
      </c>
      <c r="H236" s="3">
        <v>1</v>
      </c>
      <c r="I236" s="3">
        <v>0</v>
      </c>
      <c r="J236" s="3">
        <v>0</v>
      </c>
      <c r="K236" s="3">
        <v>0</v>
      </c>
    </row>
    <row r="237" spans="1:11" x14ac:dyDescent="0.45">
      <c r="A237">
        <f t="shared" si="4"/>
        <v>233</v>
      </c>
      <c r="B237" s="12">
        <v>18</v>
      </c>
      <c r="C237" s="6">
        <v>169</v>
      </c>
      <c r="D237" s="3">
        <v>1</v>
      </c>
      <c r="E237" s="3">
        <v>1</v>
      </c>
      <c r="F237" s="3">
        <v>1</v>
      </c>
      <c r="G237" s="3">
        <v>0</v>
      </c>
      <c r="H237" s="3">
        <v>1</v>
      </c>
      <c r="I237" s="3">
        <v>0</v>
      </c>
      <c r="J237" s="3">
        <v>0</v>
      </c>
      <c r="K237" s="3">
        <v>1</v>
      </c>
    </row>
    <row r="238" spans="1:11" x14ac:dyDescent="0.45">
      <c r="A238">
        <f t="shared" si="4"/>
        <v>234</v>
      </c>
      <c r="B238" s="12">
        <v>18</v>
      </c>
      <c r="C238" s="6">
        <v>170</v>
      </c>
      <c r="D238" s="3">
        <v>1</v>
      </c>
      <c r="E238" s="3">
        <v>1</v>
      </c>
      <c r="F238" s="3">
        <v>1</v>
      </c>
      <c r="G238" s="3">
        <v>0</v>
      </c>
      <c r="H238" s="3">
        <v>1</v>
      </c>
      <c r="I238" s="3">
        <v>0</v>
      </c>
      <c r="J238" s="3">
        <v>1</v>
      </c>
      <c r="K238" s="3">
        <v>0</v>
      </c>
    </row>
    <row r="239" spans="1:11" x14ac:dyDescent="0.45">
      <c r="A239">
        <f t="shared" si="4"/>
        <v>235</v>
      </c>
      <c r="B239" s="12">
        <v>18</v>
      </c>
      <c r="C239" s="6">
        <v>171</v>
      </c>
      <c r="D239" s="3">
        <v>1</v>
      </c>
      <c r="E239" s="3">
        <v>1</v>
      </c>
      <c r="F239" s="3">
        <v>1</v>
      </c>
      <c r="G239" s="3">
        <v>0</v>
      </c>
      <c r="H239" s="3">
        <v>1</v>
      </c>
      <c r="I239" s="3">
        <v>0</v>
      </c>
      <c r="J239" s="3">
        <v>1</v>
      </c>
      <c r="K239" s="3">
        <v>1</v>
      </c>
    </row>
    <row r="240" spans="1:11" x14ac:dyDescent="0.45">
      <c r="A240">
        <f t="shared" si="4"/>
        <v>236</v>
      </c>
      <c r="B240" s="12">
        <v>18</v>
      </c>
      <c r="C240" s="6">
        <v>172</v>
      </c>
      <c r="D240" s="3">
        <v>1</v>
      </c>
      <c r="E240" s="3">
        <v>1</v>
      </c>
      <c r="F240" s="3">
        <v>1</v>
      </c>
      <c r="G240" s="3">
        <v>0</v>
      </c>
      <c r="H240" s="3">
        <v>1</v>
      </c>
      <c r="I240" s="3">
        <v>1</v>
      </c>
      <c r="J240" s="3">
        <v>0</v>
      </c>
      <c r="K240" s="3">
        <v>0</v>
      </c>
    </row>
    <row r="241" spans="1:11" x14ac:dyDescent="0.45">
      <c r="A241">
        <f t="shared" si="4"/>
        <v>237</v>
      </c>
      <c r="B241" s="12">
        <v>18</v>
      </c>
      <c r="C241" s="6">
        <v>173</v>
      </c>
      <c r="D241" s="3">
        <v>1</v>
      </c>
      <c r="E241" s="3">
        <v>1</v>
      </c>
      <c r="F241" s="3">
        <v>1</v>
      </c>
      <c r="G241" s="3">
        <v>0</v>
      </c>
      <c r="H241" s="3">
        <v>1</v>
      </c>
      <c r="I241" s="3">
        <v>1</v>
      </c>
      <c r="J241" s="3">
        <v>0</v>
      </c>
      <c r="K241" s="3">
        <v>1</v>
      </c>
    </row>
    <row r="242" spans="1:11" x14ac:dyDescent="0.45">
      <c r="A242">
        <f t="shared" si="4"/>
        <v>238</v>
      </c>
      <c r="B242" s="12">
        <v>18</v>
      </c>
      <c r="C242" s="6">
        <v>174</v>
      </c>
      <c r="D242" s="3">
        <v>1</v>
      </c>
      <c r="E242" s="3">
        <v>1</v>
      </c>
      <c r="F242" s="3">
        <v>1</v>
      </c>
      <c r="G242" s="3">
        <v>0</v>
      </c>
      <c r="H242" s="3">
        <v>1</v>
      </c>
      <c r="I242" s="3">
        <v>1</v>
      </c>
      <c r="J242" s="3">
        <v>1</v>
      </c>
      <c r="K242" s="3">
        <v>0</v>
      </c>
    </row>
    <row r="243" spans="1:11" x14ac:dyDescent="0.45">
      <c r="A243">
        <f t="shared" si="4"/>
        <v>239</v>
      </c>
      <c r="B243" s="12">
        <v>18</v>
      </c>
      <c r="C243" s="6">
        <v>175</v>
      </c>
      <c r="D243" s="3">
        <v>1</v>
      </c>
      <c r="E243" s="3">
        <v>1</v>
      </c>
      <c r="F243" s="3">
        <v>1</v>
      </c>
      <c r="G243" s="3">
        <v>0</v>
      </c>
      <c r="H243" s="3">
        <v>1</v>
      </c>
      <c r="I243" s="3">
        <v>1</v>
      </c>
      <c r="J243" s="3">
        <v>1</v>
      </c>
      <c r="K243" s="3">
        <v>1</v>
      </c>
    </row>
    <row r="244" spans="1:11" x14ac:dyDescent="0.45">
      <c r="A244">
        <f t="shared" si="4"/>
        <v>240</v>
      </c>
      <c r="B244" s="12">
        <v>18</v>
      </c>
      <c r="C244" s="6">
        <v>176</v>
      </c>
      <c r="D244" s="3">
        <v>1</v>
      </c>
      <c r="E244" s="3">
        <v>1</v>
      </c>
      <c r="F244" s="3">
        <v>1</v>
      </c>
      <c r="G244" s="3">
        <v>1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45">
      <c r="A245">
        <f t="shared" si="4"/>
        <v>241</v>
      </c>
      <c r="B245" s="12">
        <v>18</v>
      </c>
      <c r="C245" s="6">
        <v>177</v>
      </c>
      <c r="D245" s="3">
        <v>1</v>
      </c>
      <c r="E245" s="3">
        <v>1</v>
      </c>
      <c r="F245" s="3">
        <v>1</v>
      </c>
      <c r="G245" s="3">
        <v>1</v>
      </c>
      <c r="H245" s="3">
        <v>0</v>
      </c>
      <c r="I245" s="3">
        <v>0</v>
      </c>
      <c r="J245" s="3">
        <v>0</v>
      </c>
      <c r="K245" s="3">
        <v>1</v>
      </c>
    </row>
    <row r="246" spans="1:11" x14ac:dyDescent="0.45">
      <c r="A246">
        <f t="shared" si="4"/>
        <v>242</v>
      </c>
      <c r="B246" s="12">
        <v>18</v>
      </c>
      <c r="C246" s="6">
        <v>178</v>
      </c>
      <c r="D246" s="3">
        <v>1</v>
      </c>
      <c r="E246" s="3">
        <v>1</v>
      </c>
      <c r="F246" s="3">
        <v>1</v>
      </c>
      <c r="G246" s="3">
        <v>1</v>
      </c>
      <c r="H246" s="3">
        <v>0</v>
      </c>
      <c r="I246" s="3">
        <v>0</v>
      </c>
      <c r="J246" s="3">
        <v>1</v>
      </c>
      <c r="K246" s="3">
        <v>0</v>
      </c>
    </row>
    <row r="247" spans="1:11" x14ac:dyDescent="0.45">
      <c r="A247">
        <f t="shared" si="4"/>
        <v>243</v>
      </c>
      <c r="B247" s="12">
        <v>18</v>
      </c>
      <c r="C247" s="6">
        <v>179</v>
      </c>
      <c r="D247" s="3">
        <v>1</v>
      </c>
      <c r="E247" s="3">
        <v>1</v>
      </c>
      <c r="F247" s="3">
        <v>1</v>
      </c>
      <c r="G247" s="3">
        <v>1</v>
      </c>
      <c r="H247" s="3">
        <v>0</v>
      </c>
      <c r="I247" s="3">
        <v>0</v>
      </c>
      <c r="J247" s="3">
        <v>1</v>
      </c>
      <c r="K247" s="3">
        <v>1</v>
      </c>
    </row>
    <row r="248" spans="1:11" x14ac:dyDescent="0.45">
      <c r="A248">
        <f t="shared" si="4"/>
        <v>244</v>
      </c>
      <c r="B248" s="12">
        <v>18</v>
      </c>
      <c r="C248" s="6">
        <v>180</v>
      </c>
      <c r="D248" s="3">
        <v>1</v>
      </c>
      <c r="E248" s="3">
        <v>1</v>
      </c>
      <c r="F248" s="3">
        <v>1</v>
      </c>
      <c r="G248" s="3">
        <v>1</v>
      </c>
      <c r="H248" s="3">
        <v>0</v>
      </c>
      <c r="I248" s="3">
        <v>1</v>
      </c>
      <c r="J248" s="3">
        <v>0</v>
      </c>
      <c r="K248" s="3">
        <v>0</v>
      </c>
    </row>
    <row r="249" spans="1:11" x14ac:dyDescent="0.45">
      <c r="A249">
        <f t="shared" si="4"/>
        <v>245</v>
      </c>
      <c r="B249" s="12">
        <v>18</v>
      </c>
      <c r="C249" s="6">
        <v>181</v>
      </c>
      <c r="D249" s="3">
        <v>1</v>
      </c>
      <c r="E249" s="3">
        <v>1</v>
      </c>
      <c r="F249" s="3">
        <v>1</v>
      </c>
      <c r="G249" s="3">
        <v>1</v>
      </c>
      <c r="H249" s="3">
        <v>0</v>
      </c>
      <c r="I249" s="3">
        <v>1</v>
      </c>
      <c r="J249" s="3">
        <v>0</v>
      </c>
      <c r="K249" s="3">
        <v>1</v>
      </c>
    </row>
    <row r="250" spans="1:11" x14ac:dyDescent="0.45">
      <c r="A250">
        <f t="shared" si="4"/>
        <v>246</v>
      </c>
      <c r="B250" s="12">
        <v>18</v>
      </c>
      <c r="C250" s="6">
        <v>182</v>
      </c>
      <c r="D250" s="3">
        <v>1</v>
      </c>
      <c r="E250" s="3">
        <v>1</v>
      </c>
      <c r="F250" s="3">
        <v>1</v>
      </c>
      <c r="G250" s="3">
        <v>1</v>
      </c>
      <c r="H250" s="3">
        <v>0</v>
      </c>
      <c r="I250" s="3">
        <v>1</v>
      </c>
      <c r="J250" s="3">
        <v>1</v>
      </c>
      <c r="K250" s="3">
        <v>0</v>
      </c>
    </row>
    <row r="251" spans="1:11" x14ac:dyDescent="0.45">
      <c r="A251">
        <f t="shared" si="4"/>
        <v>247</v>
      </c>
      <c r="B251" s="12">
        <v>18</v>
      </c>
      <c r="C251" s="6">
        <v>183</v>
      </c>
      <c r="D251" s="3">
        <v>1</v>
      </c>
      <c r="E251" s="3">
        <v>1</v>
      </c>
      <c r="F251" s="3">
        <v>1</v>
      </c>
      <c r="G251" s="3">
        <v>1</v>
      </c>
      <c r="H251" s="3">
        <v>0</v>
      </c>
      <c r="I251" s="3">
        <v>1</v>
      </c>
      <c r="J251" s="3">
        <v>1</v>
      </c>
      <c r="K251" s="3">
        <v>1</v>
      </c>
    </row>
    <row r="252" spans="1:11" x14ac:dyDescent="0.45">
      <c r="A252">
        <f t="shared" si="4"/>
        <v>248</v>
      </c>
      <c r="B252" s="12">
        <v>18</v>
      </c>
      <c r="C252" s="6">
        <v>184</v>
      </c>
      <c r="D252" s="3">
        <v>1</v>
      </c>
      <c r="E252" s="3">
        <v>1</v>
      </c>
      <c r="F252" s="3">
        <v>1</v>
      </c>
      <c r="G252" s="3">
        <v>1</v>
      </c>
      <c r="H252" s="3">
        <v>1</v>
      </c>
      <c r="I252" s="3">
        <v>0</v>
      </c>
      <c r="J252" s="3">
        <v>0</v>
      </c>
      <c r="K252" s="3">
        <v>0</v>
      </c>
    </row>
    <row r="253" spans="1:11" x14ac:dyDescent="0.45">
      <c r="A253">
        <f t="shared" si="4"/>
        <v>249</v>
      </c>
      <c r="B253" s="12">
        <v>18</v>
      </c>
      <c r="C253" s="6">
        <v>185</v>
      </c>
      <c r="D253" s="3">
        <v>1</v>
      </c>
      <c r="E253" s="3">
        <v>1</v>
      </c>
      <c r="F253" s="3">
        <v>1</v>
      </c>
      <c r="G253" s="3">
        <v>1</v>
      </c>
      <c r="H253" s="3">
        <v>1</v>
      </c>
      <c r="I253" s="3">
        <v>0</v>
      </c>
      <c r="J253" s="3">
        <v>0</v>
      </c>
      <c r="K253" s="3">
        <v>1</v>
      </c>
    </row>
    <row r="254" spans="1:11" x14ac:dyDescent="0.45">
      <c r="A254">
        <f t="shared" si="4"/>
        <v>250</v>
      </c>
      <c r="B254" s="12">
        <v>18</v>
      </c>
      <c r="C254" s="6">
        <v>186</v>
      </c>
      <c r="D254" s="3">
        <v>1</v>
      </c>
      <c r="E254" s="3">
        <v>1</v>
      </c>
      <c r="F254" s="3">
        <v>1</v>
      </c>
      <c r="G254" s="3">
        <v>1</v>
      </c>
      <c r="H254" s="3">
        <v>1</v>
      </c>
      <c r="I254" s="3">
        <v>0</v>
      </c>
      <c r="J254" s="3">
        <v>1</v>
      </c>
      <c r="K254" s="3">
        <v>0</v>
      </c>
    </row>
    <row r="255" spans="1:11" x14ac:dyDescent="0.45">
      <c r="A255">
        <f t="shared" si="4"/>
        <v>251</v>
      </c>
      <c r="B255" s="12">
        <v>18</v>
      </c>
      <c r="C255" s="6">
        <v>187</v>
      </c>
      <c r="D255" s="3">
        <v>1</v>
      </c>
      <c r="E255" s="3">
        <v>1</v>
      </c>
      <c r="F255" s="3">
        <v>1</v>
      </c>
      <c r="G255" s="3">
        <v>1</v>
      </c>
      <c r="H255" s="3">
        <v>1</v>
      </c>
      <c r="I255" s="3">
        <v>0</v>
      </c>
      <c r="J255" s="3">
        <v>1</v>
      </c>
      <c r="K255" s="3">
        <v>1</v>
      </c>
    </row>
    <row r="256" spans="1:11" x14ac:dyDescent="0.45">
      <c r="A256">
        <f t="shared" si="4"/>
        <v>252</v>
      </c>
      <c r="B256" s="12">
        <v>18</v>
      </c>
      <c r="C256" s="6">
        <v>188</v>
      </c>
      <c r="D256" s="3">
        <v>1</v>
      </c>
      <c r="E256" s="3">
        <v>1</v>
      </c>
      <c r="F256" s="3">
        <v>1</v>
      </c>
      <c r="G256" s="3">
        <v>1</v>
      </c>
      <c r="H256" s="3">
        <v>1</v>
      </c>
      <c r="I256" s="3">
        <v>1</v>
      </c>
      <c r="J256" s="3">
        <v>0</v>
      </c>
      <c r="K256" s="3">
        <v>0</v>
      </c>
    </row>
    <row r="257" spans="1:11" x14ac:dyDescent="0.45">
      <c r="A257">
        <f t="shared" si="4"/>
        <v>253</v>
      </c>
      <c r="B257" s="12">
        <v>18</v>
      </c>
      <c r="C257" s="6">
        <v>189</v>
      </c>
      <c r="D257" s="3">
        <v>1</v>
      </c>
      <c r="E257" s="3">
        <v>1</v>
      </c>
      <c r="F257" s="3">
        <v>1</v>
      </c>
      <c r="G257" s="3">
        <v>1</v>
      </c>
      <c r="H257" s="3">
        <v>1</v>
      </c>
      <c r="I257" s="3">
        <v>1</v>
      </c>
      <c r="J257" s="3">
        <v>0</v>
      </c>
      <c r="K257" s="3">
        <v>1</v>
      </c>
    </row>
    <row r="258" spans="1:11" x14ac:dyDescent="0.45">
      <c r="A258">
        <f t="shared" si="4"/>
        <v>254</v>
      </c>
      <c r="B258" s="12">
        <v>18</v>
      </c>
      <c r="C258" s="6">
        <v>190</v>
      </c>
      <c r="D258" s="3">
        <v>1</v>
      </c>
      <c r="E258" s="3">
        <v>1</v>
      </c>
      <c r="F258" s="3">
        <v>1</v>
      </c>
      <c r="G258" s="3">
        <v>1</v>
      </c>
      <c r="H258" s="3">
        <v>1</v>
      </c>
      <c r="I258" s="3">
        <v>1</v>
      </c>
      <c r="J258" s="3">
        <v>1</v>
      </c>
      <c r="K258" s="3">
        <v>0</v>
      </c>
    </row>
    <row r="259" spans="1:11" x14ac:dyDescent="0.45">
      <c r="A259">
        <f t="shared" si="4"/>
        <v>255</v>
      </c>
      <c r="B259" s="12">
        <v>18</v>
      </c>
      <c r="C259" s="6">
        <v>191</v>
      </c>
      <c r="D259" s="3">
        <v>1</v>
      </c>
      <c r="E259" s="3">
        <v>1</v>
      </c>
      <c r="F259" s="3">
        <v>1</v>
      </c>
      <c r="G259" s="3">
        <v>1</v>
      </c>
      <c r="H259" s="3">
        <v>1</v>
      </c>
      <c r="I259" s="3">
        <v>1</v>
      </c>
      <c r="J259" s="3">
        <v>1</v>
      </c>
      <c r="K259" s="3">
        <v>1</v>
      </c>
    </row>
  </sheetData>
  <mergeCells count="5">
    <mergeCell ref="D1:K1"/>
    <mergeCell ref="N4:N11"/>
    <mergeCell ref="N12:N19"/>
    <mergeCell ref="O2:O3"/>
    <mergeCell ref="P2:P3"/>
  </mergeCells>
  <conditionalFormatting sqref="D1:K1048576">
    <cfRule type="cellIs" dxfId="3" priority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0EB76-1ED7-4F13-90AB-6CF6B0861BB1}">
  <sheetPr codeName="Sheet3"/>
  <dimension ref="C2:BA48"/>
  <sheetViews>
    <sheetView zoomScale="40" zoomScaleNormal="40" workbookViewId="0">
      <selection activeCell="C3" sqref="C3:Z23"/>
    </sheetView>
  </sheetViews>
  <sheetFormatPr defaultColWidth="4" defaultRowHeight="18.75" customHeight="1" x14ac:dyDescent="0.45"/>
  <sheetData>
    <row r="2" spans="3:53" ht="18.75" customHeight="1" thickBot="1" x14ac:dyDescent="0.5"/>
    <row r="3" spans="3:53" ht="18.75" customHeight="1" thickTop="1" thickBot="1" x14ac:dyDescent="0.5">
      <c r="C3" s="16">
        <v>0</v>
      </c>
      <c r="D3" s="16">
        <v>0</v>
      </c>
      <c r="E3" s="16">
        <v>0</v>
      </c>
      <c r="F3" s="16">
        <v>0</v>
      </c>
      <c r="G3" s="16">
        <v>0</v>
      </c>
      <c r="H3" s="16">
        <v>0</v>
      </c>
      <c r="I3" s="16">
        <v>0</v>
      </c>
      <c r="J3" s="17">
        <v>0</v>
      </c>
      <c r="K3" s="18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7">
        <v>0</v>
      </c>
      <c r="S3" s="18">
        <v>0</v>
      </c>
      <c r="T3" s="16">
        <v>0</v>
      </c>
      <c r="U3" s="16">
        <v>0</v>
      </c>
      <c r="V3" s="16">
        <v>0</v>
      </c>
      <c r="W3" s="16">
        <v>0</v>
      </c>
      <c r="X3" s="16">
        <v>0</v>
      </c>
      <c r="Y3" s="16">
        <v>0</v>
      </c>
      <c r="Z3" s="16">
        <v>0</v>
      </c>
      <c r="AD3" s="16">
        <v>0</v>
      </c>
      <c r="AE3" s="16">
        <v>0</v>
      </c>
      <c r="AF3" s="16">
        <v>0</v>
      </c>
      <c r="AG3" s="16">
        <v>0</v>
      </c>
      <c r="AH3" s="16">
        <v>0</v>
      </c>
      <c r="AI3" s="16">
        <v>0</v>
      </c>
      <c r="AJ3" s="16">
        <v>0</v>
      </c>
      <c r="AK3" s="17">
        <v>0</v>
      </c>
      <c r="AL3" s="18">
        <v>0</v>
      </c>
      <c r="AM3" s="16">
        <v>0</v>
      </c>
      <c r="AN3" s="16">
        <v>0</v>
      </c>
      <c r="AO3" s="16">
        <v>1</v>
      </c>
      <c r="AP3" s="16">
        <v>1</v>
      </c>
      <c r="AQ3" s="16">
        <v>1</v>
      </c>
      <c r="AR3" s="16">
        <v>0</v>
      </c>
      <c r="AS3" s="16">
        <v>1</v>
      </c>
      <c r="AT3" s="17">
        <v>0</v>
      </c>
      <c r="AU3" s="18">
        <v>0</v>
      </c>
      <c r="AV3" s="16">
        <v>0</v>
      </c>
      <c r="AW3" s="16">
        <v>0</v>
      </c>
      <c r="AX3" s="16">
        <v>0</v>
      </c>
      <c r="AY3" s="16">
        <v>0</v>
      </c>
      <c r="AZ3" s="16">
        <v>0</v>
      </c>
      <c r="BA3" s="16">
        <v>0</v>
      </c>
    </row>
    <row r="4" spans="3:53" ht="18.75" customHeight="1" thickTop="1" thickBot="1" x14ac:dyDescent="0.5">
      <c r="C4" s="16">
        <v>0</v>
      </c>
      <c r="D4" s="16">
        <v>0</v>
      </c>
      <c r="E4" s="16">
        <v>0</v>
      </c>
      <c r="F4" s="16">
        <v>0</v>
      </c>
      <c r="G4" s="16">
        <v>0</v>
      </c>
      <c r="H4" s="16">
        <v>0</v>
      </c>
      <c r="I4" s="16">
        <v>0</v>
      </c>
      <c r="J4" s="17">
        <v>0</v>
      </c>
      <c r="K4" s="18">
        <v>0</v>
      </c>
      <c r="L4" s="18">
        <v>0</v>
      </c>
      <c r="M4" s="16">
        <v>0</v>
      </c>
      <c r="N4" s="16">
        <v>0</v>
      </c>
      <c r="O4" s="16">
        <v>0</v>
      </c>
      <c r="P4" s="16">
        <v>0</v>
      </c>
      <c r="Q4" s="16">
        <v>0</v>
      </c>
      <c r="R4" s="17">
        <v>0</v>
      </c>
      <c r="S4" s="18">
        <v>0</v>
      </c>
      <c r="T4" s="18">
        <v>0</v>
      </c>
      <c r="U4" s="16">
        <v>0</v>
      </c>
      <c r="V4" s="16">
        <v>0</v>
      </c>
      <c r="W4" s="16">
        <v>0</v>
      </c>
      <c r="X4" s="16">
        <v>0</v>
      </c>
      <c r="Y4" s="16">
        <v>0</v>
      </c>
      <c r="Z4" s="16">
        <v>0</v>
      </c>
      <c r="AD4" s="16">
        <v>0</v>
      </c>
      <c r="AE4" s="16">
        <v>0</v>
      </c>
      <c r="AF4" s="16">
        <v>0</v>
      </c>
      <c r="AG4" s="16">
        <v>0</v>
      </c>
      <c r="AH4" s="16">
        <v>0</v>
      </c>
      <c r="AI4" s="16">
        <v>0</v>
      </c>
      <c r="AJ4" s="16">
        <v>1</v>
      </c>
      <c r="AK4" s="17">
        <v>1</v>
      </c>
      <c r="AL4" s="18">
        <v>1</v>
      </c>
      <c r="AM4" s="16">
        <v>1</v>
      </c>
      <c r="AN4" s="16">
        <v>1</v>
      </c>
      <c r="AO4" s="16">
        <v>1</v>
      </c>
      <c r="AP4" s="16">
        <v>1</v>
      </c>
      <c r="AQ4" s="16">
        <v>1</v>
      </c>
      <c r="AR4" s="16">
        <v>1</v>
      </c>
      <c r="AS4" s="16">
        <v>1</v>
      </c>
      <c r="AT4" s="17">
        <v>1</v>
      </c>
      <c r="AU4" s="18">
        <v>0</v>
      </c>
      <c r="AV4" s="16">
        <v>0</v>
      </c>
      <c r="AW4" s="16">
        <v>0</v>
      </c>
      <c r="AX4" s="16">
        <v>0</v>
      </c>
      <c r="AY4" s="16">
        <v>0</v>
      </c>
      <c r="AZ4" s="16">
        <v>0</v>
      </c>
      <c r="BA4" s="16">
        <v>0</v>
      </c>
    </row>
    <row r="5" spans="3:53" ht="18.75" customHeight="1" thickTop="1" thickBot="1" x14ac:dyDescent="0.5"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16">
        <v>1</v>
      </c>
      <c r="I5" s="16">
        <v>1</v>
      </c>
      <c r="J5" s="17">
        <v>0</v>
      </c>
      <c r="K5" s="18">
        <v>0</v>
      </c>
      <c r="L5" s="18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7">
        <v>0</v>
      </c>
      <c r="S5" s="18">
        <v>0</v>
      </c>
      <c r="T5" s="18">
        <v>1</v>
      </c>
      <c r="U5" s="16">
        <v>1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1</v>
      </c>
      <c r="AJ5" s="16">
        <v>1</v>
      </c>
      <c r="AK5" s="17">
        <v>1</v>
      </c>
      <c r="AL5" s="18">
        <v>1</v>
      </c>
      <c r="AM5" s="16">
        <v>1</v>
      </c>
      <c r="AN5" s="16">
        <v>1</v>
      </c>
      <c r="AO5" s="16">
        <v>1</v>
      </c>
      <c r="AP5" s="16">
        <v>1</v>
      </c>
      <c r="AQ5" s="16">
        <v>1</v>
      </c>
      <c r="AR5" s="16">
        <v>1</v>
      </c>
      <c r="AS5" s="16">
        <v>1</v>
      </c>
      <c r="AT5" s="17">
        <v>1</v>
      </c>
      <c r="AU5" s="18">
        <v>1</v>
      </c>
      <c r="AV5" s="16">
        <v>1</v>
      </c>
      <c r="AW5" s="16">
        <v>0</v>
      </c>
      <c r="AX5" s="16">
        <v>0</v>
      </c>
      <c r="AY5" s="16">
        <v>0</v>
      </c>
      <c r="AZ5" s="16">
        <v>0</v>
      </c>
      <c r="BA5" s="16">
        <v>0</v>
      </c>
    </row>
    <row r="6" spans="3:53" ht="18.75" customHeight="1" thickTop="1" thickBot="1" x14ac:dyDescent="0.5"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v>1</v>
      </c>
      <c r="I6" s="16">
        <v>1</v>
      </c>
      <c r="J6" s="17">
        <v>0</v>
      </c>
      <c r="K6" s="18">
        <v>0</v>
      </c>
      <c r="L6" s="18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7">
        <v>0</v>
      </c>
      <c r="S6" s="18">
        <v>0</v>
      </c>
      <c r="T6" s="18">
        <v>1</v>
      </c>
      <c r="U6" s="16">
        <v>1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1</v>
      </c>
      <c r="AI6" s="16">
        <v>1</v>
      </c>
      <c r="AJ6" s="16">
        <v>1</v>
      </c>
      <c r="AK6" s="17">
        <v>1</v>
      </c>
      <c r="AL6" s="18">
        <v>1</v>
      </c>
      <c r="AM6" s="16">
        <v>1</v>
      </c>
      <c r="AN6" s="16">
        <v>1</v>
      </c>
      <c r="AO6" s="16">
        <v>1</v>
      </c>
      <c r="AP6" s="16">
        <v>1</v>
      </c>
      <c r="AQ6" s="16">
        <v>1</v>
      </c>
      <c r="AR6" s="16">
        <v>1</v>
      </c>
      <c r="AS6" s="16">
        <v>1</v>
      </c>
      <c r="AT6" s="17">
        <v>1</v>
      </c>
      <c r="AU6" s="18">
        <v>1</v>
      </c>
      <c r="AV6" s="16">
        <v>1</v>
      </c>
      <c r="AW6" s="16">
        <v>1</v>
      </c>
      <c r="AX6" s="16">
        <v>0</v>
      </c>
      <c r="AY6" s="16">
        <v>0</v>
      </c>
      <c r="AZ6" s="16">
        <v>0</v>
      </c>
      <c r="BA6" s="16">
        <v>0</v>
      </c>
    </row>
    <row r="7" spans="3:53" ht="18.75" customHeight="1" thickTop="1" thickBot="1" x14ac:dyDescent="0.5"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7">
        <v>1</v>
      </c>
      <c r="K7" s="18">
        <v>1</v>
      </c>
      <c r="L7" s="18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7">
        <v>1</v>
      </c>
      <c r="S7" s="18">
        <v>1</v>
      </c>
      <c r="T7" s="18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D7" s="16">
        <v>0</v>
      </c>
      <c r="AE7" s="16">
        <v>0</v>
      </c>
      <c r="AF7" s="16">
        <v>0</v>
      </c>
      <c r="AG7" s="16">
        <v>1</v>
      </c>
      <c r="AH7" s="16">
        <v>1</v>
      </c>
      <c r="AI7" s="16">
        <v>1</v>
      </c>
      <c r="AJ7" s="16">
        <v>1</v>
      </c>
      <c r="AK7" s="17">
        <v>1</v>
      </c>
      <c r="AL7" s="18">
        <v>1</v>
      </c>
      <c r="AM7" s="16">
        <v>1</v>
      </c>
      <c r="AN7" s="16">
        <v>1</v>
      </c>
      <c r="AO7" s="16">
        <v>1</v>
      </c>
      <c r="AP7" s="16">
        <v>1</v>
      </c>
      <c r="AQ7" s="16">
        <v>1</v>
      </c>
      <c r="AR7" s="16">
        <v>1</v>
      </c>
      <c r="AS7" s="16">
        <v>1</v>
      </c>
      <c r="AT7" s="17">
        <v>1</v>
      </c>
      <c r="AU7" s="18">
        <v>1</v>
      </c>
      <c r="AV7" s="16">
        <v>1</v>
      </c>
      <c r="AW7" s="16">
        <v>1</v>
      </c>
      <c r="AX7" s="16">
        <v>1</v>
      </c>
      <c r="AY7" s="16">
        <v>0</v>
      </c>
      <c r="AZ7" s="16">
        <v>0</v>
      </c>
      <c r="BA7" s="16">
        <v>0</v>
      </c>
    </row>
    <row r="8" spans="3:53" ht="18.75" customHeight="1" thickTop="1" thickBot="1" x14ac:dyDescent="0.5">
      <c r="C8" s="16">
        <v>0</v>
      </c>
      <c r="D8" s="16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7">
        <v>1</v>
      </c>
      <c r="K8" s="18">
        <v>1</v>
      </c>
      <c r="L8" s="18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7">
        <v>1</v>
      </c>
      <c r="S8" s="18">
        <v>1</v>
      </c>
      <c r="T8" s="18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D8" s="16">
        <v>0</v>
      </c>
      <c r="AE8" s="16">
        <v>0</v>
      </c>
      <c r="AF8" s="16">
        <v>0</v>
      </c>
      <c r="AG8" s="16">
        <v>1</v>
      </c>
      <c r="AH8" s="16">
        <v>1</v>
      </c>
      <c r="AI8" s="16">
        <v>1</v>
      </c>
      <c r="AJ8" s="16">
        <v>1</v>
      </c>
      <c r="AK8" s="17">
        <v>1</v>
      </c>
      <c r="AL8" s="18">
        <v>1</v>
      </c>
      <c r="AM8" s="16">
        <v>1</v>
      </c>
      <c r="AN8" s="16">
        <v>1</v>
      </c>
      <c r="AO8" s="16">
        <v>1</v>
      </c>
      <c r="AP8" s="16">
        <v>1</v>
      </c>
      <c r="AQ8" s="16">
        <v>1</v>
      </c>
      <c r="AR8" s="16">
        <v>1</v>
      </c>
      <c r="AS8" s="16">
        <v>1</v>
      </c>
      <c r="AT8" s="17">
        <v>1</v>
      </c>
      <c r="AU8" s="18">
        <v>1</v>
      </c>
      <c r="AV8" s="16">
        <v>1</v>
      </c>
      <c r="AW8" s="16">
        <v>1</v>
      </c>
      <c r="AX8" s="16">
        <v>1</v>
      </c>
      <c r="AY8" s="16">
        <v>1</v>
      </c>
      <c r="AZ8" s="16">
        <v>0</v>
      </c>
      <c r="BA8" s="16">
        <v>0</v>
      </c>
    </row>
    <row r="9" spans="3:53" ht="18.75" customHeight="1" thickTop="1" thickBot="1" x14ac:dyDescent="0.5">
      <c r="C9" s="16">
        <v>0</v>
      </c>
      <c r="D9" s="16">
        <v>0</v>
      </c>
      <c r="E9" s="16">
        <v>0</v>
      </c>
      <c r="F9" s="16">
        <v>0</v>
      </c>
      <c r="G9" s="16">
        <v>0</v>
      </c>
      <c r="H9" s="16">
        <v>1</v>
      </c>
      <c r="I9" s="16">
        <v>1</v>
      </c>
      <c r="J9" s="17">
        <v>1</v>
      </c>
      <c r="K9" s="18">
        <v>1</v>
      </c>
      <c r="L9" s="18">
        <v>1</v>
      </c>
      <c r="M9" s="16">
        <v>1</v>
      </c>
      <c r="N9" s="16">
        <v>1</v>
      </c>
      <c r="O9" s="16">
        <v>1</v>
      </c>
      <c r="P9" s="16">
        <v>1</v>
      </c>
      <c r="Q9" s="16">
        <v>1</v>
      </c>
      <c r="R9" s="17">
        <v>1</v>
      </c>
      <c r="S9" s="18">
        <v>1</v>
      </c>
      <c r="T9" s="18">
        <v>1</v>
      </c>
      <c r="U9" s="16">
        <v>1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D9" s="16">
        <v>0</v>
      </c>
      <c r="AE9" s="16">
        <v>0</v>
      </c>
      <c r="AF9" s="16">
        <v>1</v>
      </c>
      <c r="AG9" s="16">
        <v>1</v>
      </c>
      <c r="AH9" s="16">
        <v>1</v>
      </c>
      <c r="AI9" s="16">
        <v>1</v>
      </c>
      <c r="AJ9" s="16">
        <v>1</v>
      </c>
      <c r="AK9" s="17">
        <v>1</v>
      </c>
      <c r="AL9" s="18">
        <v>1</v>
      </c>
      <c r="AM9" s="16">
        <v>1</v>
      </c>
      <c r="AN9" s="16">
        <v>1</v>
      </c>
      <c r="AO9" s="16">
        <v>1</v>
      </c>
      <c r="AP9" s="16">
        <v>1</v>
      </c>
      <c r="AQ9" s="16">
        <v>1</v>
      </c>
      <c r="AR9" s="16">
        <v>1</v>
      </c>
      <c r="AS9" s="16">
        <v>1</v>
      </c>
      <c r="AT9" s="17">
        <v>1</v>
      </c>
      <c r="AU9" s="18">
        <v>1</v>
      </c>
      <c r="AV9" s="16">
        <v>1</v>
      </c>
      <c r="AW9" s="16">
        <v>1</v>
      </c>
      <c r="AX9" s="16">
        <v>1</v>
      </c>
      <c r="AY9" s="16">
        <v>1</v>
      </c>
      <c r="AZ9" s="16">
        <v>0</v>
      </c>
      <c r="BA9" s="16">
        <v>0</v>
      </c>
    </row>
    <row r="10" spans="3:53" ht="18.75" customHeight="1" thickTop="1" thickBot="1" x14ac:dyDescent="0.5">
      <c r="C10" s="16">
        <v>0</v>
      </c>
      <c r="D10" s="16">
        <v>0</v>
      </c>
      <c r="E10" s="16">
        <v>0</v>
      </c>
      <c r="F10" s="16">
        <v>1</v>
      </c>
      <c r="G10" s="16">
        <v>1</v>
      </c>
      <c r="H10" s="16">
        <v>1</v>
      </c>
      <c r="I10" s="16">
        <v>1</v>
      </c>
      <c r="J10" s="17">
        <v>1</v>
      </c>
      <c r="K10" s="18">
        <v>1</v>
      </c>
      <c r="L10" s="18">
        <v>1</v>
      </c>
      <c r="M10" s="16">
        <v>1</v>
      </c>
      <c r="N10" s="16">
        <v>1</v>
      </c>
      <c r="O10" s="16">
        <v>1</v>
      </c>
      <c r="P10" s="16">
        <v>1</v>
      </c>
      <c r="Q10" s="16">
        <v>1</v>
      </c>
      <c r="R10" s="17">
        <v>1</v>
      </c>
      <c r="S10" s="18">
        <v>1</v>
      </c>
      <c r="T10" s="18">
        <v>1</v>
      </c>
      <c r="U10" s="16">
        <v>1</v>
      </c>
      <c r="V10" s="16">
        <v>0</v>
      </c>
      <c r="W10" s="16">
        <v>0</v>
      </c>
      <c r="X10" s="16">
        <v>0</v>
      </c>
      <c r="Y10" s="16">
        <v>0</v>
      </c>
      <c r="Z10" s="16">
        <v>0</v>
      </c>
      <c r="AD10" s="16">
        <v>0</v>
      </c>
      <c r="AE10" s="16">
        <v>0</v>
      </c>
      <c r="AF10" s="16">
        <v>1</v>
      </c>
      <c r="AG10" s="16">
        <v>1</v>
      </c>
      <c r="AH10" s="16">
        <v>1</v>
      </c>
      <c r="AI10" s="16">
        <v>1</v>
      </c>
      <c r="AJ10" s="16">
        <v>1</v>
      </c>
      <c r="AK10" s="17">
        <v>0</v>
      </c>
      <c r="AL10" s="18">
        <v>0</v>
      </c>
      <c r="AM10" s="16">
        <v>0</v>
      </c>
      <c r="AN10" s="16">
        <v>0</v>
      </c>
      <c r="AO10" s="16">
        <v>1</v>
      </c>
      <c r="AP10" s="16">
        <v>1</v>
      </c>
      <c r="AQ10" s="16">
        <v>0</v>
      </c>
      <c r="AR10" s="16">
        <v>0</v>
      </c>
      <c r="AS10" s="16">
        <v>1</v>
      </c>
      <c r="AT10" s="17">
        <v>1</v>
      </c>
      <c r="AU10" s="18">
        <v>1</v>
      </c>
      <c r="AV10" s="16">
        <v>1</v>
      </c>
      <c r="AW10" s="16">
        <v>1</v>
      </c>
      <c r="AX10" s="16">
        <v>1</v>
      </c>
      <c r="AY10" s="16">
        <v>1</v>
      </c>
      <c r="AZ10" s="16">
        <v>0</v>
      </c>
      <c r="BA10" s="16">
        <v>0</v>
      </c>
    </row>
    <row r="11" spans="3:53" ht="18.75" customHeight="1" thickTop="1" thickBot="1" x14ac:dyDescent="0.5">
      <c r="C11" s="16">
        <v>0</v>
      </c>
      <c r="D11" s="16">
        <v>0</v>
      </c>
      <c r="E11" s="16">
        <v>0</v>
      </c>
      <c r="F11" s="16">
        <v>1</v>
      </c>
      <c r="G11" s="16">
        <v>1</v>
      </c>
      <c r="H11" s="16">
        <v>1</v>
      </c>
      <c r="I11" s="16">
        <v>0</v>
      </c>
      <c r="J11" s="17">
        <v>0</v>
      </c>
      <c r="K11" s="18">
        <v>1</v>
      </c>
      <c r="L11" s="18">
        <v>1</v>
      </c>
      <c r="M11" s="16">
        <v>1</v>
      </c>
      <c r="N11" s="16">
        <v>1</v>
      </c>
      <c r="O11" s="16">
        <v>1</v>
      </c>
      <c r="P11" s="16">
        <v>1</v>
      </c>
      <c r="Q11" s="16">
        <v>1</v>
      </c>
      <c r="R11" s="17">
        <v>0</v>
      </c>
      <c r="S11" s="18">
        <v>0</v>
      </c>
      <c r="T11" s="18">
        <v>1</v>
      </c>
      <c r="U11" s="16">
        <v>1</v>
      </c>
      <c r="V11" s="16">
        <v>1</v>
      </c>
      <c r="W11" s="16">
        <v>1</v>
      </c>
      <c r="X11" s="16">
        <v>0</v>
      </c>
      <c r="Y11" s="16">
        <v>0</v>
      </c>
      <c r="Z11" s="16">
        <v>0</v>
      </c>
      <c r="AD11" s="16">
        <v>0</v>
      </c>
      <c r="AE11" s="16">
        <v>1</v>
      </c>
      <c r="AF11" s="16">
        <v>1</v>
      </c>
      <c r="AG11" s="16">
        <v>1</v>
      </c>
      <c r="AH11" s="16">
        <v>1</v>
      </c>
      <c r="AI11" s="16">
        <v>1</v>
      </c>
      <c r="AJ11" s="16">
        <v>0</v>
      </c>
      <c r="AK11" s="17">
        <v>0</v>
      </c>
      <c r="AL11" s="18">
        <v>0</v>
      </c>
      <c r="AM11" s="16">
        <v>1</v>
      </c>
      <c r="AN11" s="16">
        <v>0</v>
      </c>
      <c r="AO11" s="16">
        <v>1</v>
      </c>
      <c r="AP11" s="16">
        <v>0</v>
      </c>
      <c r="AQ11" s="16">
        <v>0</v>
      </c>
      <c r="AR11" s="16">
        <v>0</v>
      </c>
      <c r="AS11" s="16">
        <v>0</v>
      </c>
      <c r="AT11" s="17">
        <v>1</v>
      </c>
      <c r="AU11" s="18">
        <v>1</v>
      </c>
      <c r="AV11" s="16">
        <v>1</v>
      </c>
      <c r="AW11" s="16">
        <v>1</v>
      </c>
      <c r="AX11" s="16">
        <v>1</v>
      </c>
      <c r="AY11" s="16">
        <v>1</v>
      </c>
      <c r="AZ11" s="16">
        <v>0</v>
      </c>
      <c r="BA11" s="16">
        <v>0</v>
      </c>
    </row>
    <row r="12" spans="3:53" ht="18.75" customHeight="1" thickTop="1" thickBot="1" x14ac:dyDescent="0.5">
      <c r="C12" s="16">
        <v>0</v>
      </c>
      <c r="D12" s="16">
        <v>0</v>
      </c>
      <c r="E12" s="16">
        <v>0</v>
      </c>
      <c r="F12" s="16">
        <v>1</v>
      </c>
      <c r="G12" s="16">
        <v>1</v>
      </c>
      <c r="H12" s="16">
        <v>1</v>
      </c>
      <c r="I12" s="16">
        <v>0</v>
      </c>
      <c r="J12" s="17">
        <v>0</v>
      </c>
      <c r="K12" s="18">
        <v>1</v>
      </c>
      <c r="L12" s="18">
        <v>1</v>
      </c>
      <c r="M12" s="16">
        <v>1</v>
      </c>
      <c r="N12" s="16">
        <v>1</v>
      </c>
      <c r="O12" s="16">
        <v>1</v>
      </c>
      <c r="P12" s="16">
        <v>1</v>
      </c>
      <c r="Q12" s="16">
        <v>1</v>
      </c>
      <c r="R12" s="17">
        <v>0</v>
      </c>
      <c r="S12" s="18">
        <v>0</v>
      </c>
      <c r="T12" s="18">
        <v>1</v>
      </c>
      <c r="U12" s="16">
        <v>1</v>
      </c>
      <c r="V12" s="16">
        <v>1</v>
      </c>
      <c r="W12" s="16">
        <v>1</v>
      </c>
      <c r="X12" s="16">
        <v>0</v>
      </c>
      <c r="Y12" s="16">
        <v>0</v>
      </c>
      <c r="Z12" s="16">
        <v>0</v>
      </c>
      <c r="AD12" s="16">
        <v>0</v>
      </c>
      <c r="AE12" s="16">
        <v>0</v>
      </c>
      <c r="AF12" s="16">
        <v>1</v>
      </c>
      <c r="AG12" s="16">
        <v>1</v>
      </c>
      <c r="AH12" s="16">
        <v>1</v>
      </c>
      <c r="AI12" s="16">
        <v>1</v>
      </c>
      <c r="AJ12" s="16">
        <v>0</v>
      </c>
      <c r="AK12" s="17">
        <v>0</v>
      </c>
      <c r="AL12" s="18">
        <v>0</v>
      </c>
      <c r="AM12" s="16">
        <v>1</v>
      </c>
      <c r="AN12" s="16">
        <v>0</v>
      </c>
      <c r="AO12" s="16">
        <v>1</v>
      </c>
      <c r="AP12" s="16">
        <v>0</v>
      </c>
      <c r="AQ12" s="16">
        <v>1</v>
      </c>
      <c r="AR12" s="16">
        <v>0</v>
      </c>
      <c r="AS12" s="16">
        <v>0</v>
      </c>
      <c r="AT12" s="17">
        <v>0</v>
      </c>
      <c r="AU12" s="18">
        <v>1</v>
      </c>
      <c r="AV12" s="16">
        <v>1</v>
      </c>
      <c r="AW12" s="16">
        <v>1</v>
      </c>
      <c r="AX12" s="16">
        <v>1</v>
      </c>
      <c r="AY12" s="16">
        <v>1</v>
      </c>
      <c r="AZ12" s="16">
        <v>0</v>
      </c>
      <c r="BA12" s="16">
        <v>0</v>
      </c>
    </row>
    <row r="13" spans="3:53" ht="18.75" customHeight="1" thickTop="1" thickBot="1" x14ac:dyDescent="0.5">
      <c r="C13" s="16">
        <v>0</v>
      </c>
      <c r="D13" s="16">
        <v>1</v>
      </c>
      <c r="E13" s="16">
        <v>1</v>
      </c>
      <c r="F13" s="16">
        <v>1</v>
      </c>
      <c r="G13" s="16">
        <v>1</v>
      </c>
      <c r="H13" s="16">
        <v>1</v>
      </c>
      <c r="I13" s="16">
        <v>1</v>
      </c>
      <c r="J13" s="17">
        <v>1</v>
      </c>
      <c r="K13" s="18">
        <v>1</v>
      </c>
      <c r="L13" s="18">
        <v>1</v>
      </c>
      <c r="M13" s="16">
        <v>1</v>
      </c>
      <c r="N13" s="16">
        <v>1</v>
      </c>
      <c r="O13" s="16">
        <v>1</v>
      </c>
      <c r="P13" s="16">
        <v>1</v>
      </c>
      <c r="Q13" s="16">
        <v>1</v>
      </c>
      <c r="R13" s="17">
        <v>1</v>
      </c>
      <c r="S13" s="18">
        <v>1</v>
      </c>
      <c r="T13" s="18">
        <v>1</v>
      </c>
      <c r="U13" s="16">
        <v>1</v>
      </c>
      <c r="V13" s="16">
        <v>1</v>
      </c>
      <c r="W13" s="16">
        <v>1</v>
      </c>
      <c r="X13" s="16">
        <v>1</v>
      </c>
      <c r="Y13" s="16">
        <v>1</v>
      </c>
      <c r="Z13" s="16">
        <v>0</v>
      </c>
      <c r="AD13" s="16">
        <v>0</v>
      </c>
      <c r="AE13" s="16">
        <v>1</v>
      </c>
      <c r="AF13" s="16">
        <v>1</v>
      </c>
      <c r="AG13" s="16">
        <v>1</v>
      </c>
      <c r="AH13" s="16">
        <v>1</v>
      </c>
      <c r="AI13" s="16">
        <v>1</v>
      </c>
      <c r="AJ13" s="16">
        <v>0</v>
      </c>
      <c r="AK13" s="17">
        <v>0</v>
      </c>
      <c r="AL13" s="18">
        <v>0</v>
      </c>
      <c r="AM13" s="16">
        <v>0</v>
      </c>
      <c r="AN13" s="16">
        <v>0</v>
      </c>
      <c r="AO13" s="16">
        <v>1</v>
      </c>
      <c r="AP13" s="16">
        <v>0</v>
      </c>
      <c r="AQ13" s="16">
        <v>1</v>
      </c>
      <c r="AR13" s="16">
        <v>0</v>
      </c>
      <c r="AS13" s="16">
        <v>0</v>
      </c>
      <c r="AT13" s="17">
        <v>0</v>
      </c>
      <c r="AU13" s="18">
        <v>1</v>
      </c>
      <c r="AV13" s="16">
        <v>1</v>
      </c>
      <c r="AW13" s="16">
        <v>1</v>
      </c>
      <c r="AX13" s="16">
        <v>1</v>
      </c>
      <c r="AY13" s="16">
        <v>1</v>
      </c>
      <c r="AZ13" s="16">
        <v>1</v>
      </c>
      <c r="BA13" s="16">
        <v>0</v>
      </c>
    </row>
    <row r="14" spans="3:53" ht="18.75" customHeight="1" thickTop="1" thickBot="1" x14ac:dyDescent="0.5">
      <c r="C14" s="16">
        <v>0</v>
      </c>
      <c r="D14" s="16">
        <v>1</v>
      </c>
      <c r="E14" s="16">
        <v>1</v>
      </c>
      <c r="F14" s="16">
        <v>1</v>
      </c>
      <c r="G14" s="16">
        <v>1</v>
      </c>
      <c r="H14" s="16">
        <v>1</v>
      </c>
      <c r="I14" s="16">
        <v>1</v>
      </c>
      <c r="J14" s="17">
        <v>1</v>
      </c>
      <c r="K14" s="18">
        <v>1</v>
      </c>
      <c r="L14" s="18">
        <v>1</v>
      </c>
      <c r="M14" s="16">
        <v>1</v>
      </c>
      <c r="N14" s="16">
        <v>1</v>
      </c>
      <c r="O14" s="16">
        <v>1</v>
      </c>
      <c r="P14" s="16">
        <v>1</v>
      </c>
      <c r="Q14" s="16">
        <v>1</v>
      </c>
      <c r="R14" s="17">
        <v>1</v>
      </c>
      <c r="S14" s="18">
        <v>1</v>
      </c>
      <c r="T14" s="18">
        <v>1</v>
      </c>
      <c r="U14" s="16">
        <v>1</v>
      </c>
      <c r="V14" s="16">
        <v>1</v>
      </c>
      <c r="W14" s="16">
        <v>1</v>
      </c>
      <c r="X14" s="16">
        <v>1</v>
      </c>
      <c r="Y14" s="16">
        <v>1</v>
      </c>
      <c r="Z14" s="16">
        <v>0</v>
      </c>
      <c r="AD14" s="16">
        <v>0</v>
      </c>
      <c r="AE14" s="16">
        <v>0</v>
      </c>
      <c r="AF14" s="16">
        <v>1</v>
      </c>
      <c r="AG14" s="16">
        <v>1</v>
      </c>
      <c r="AH14" s="16">
        <v>1</v>
      </c>
      <c r="AI14" s="16">
        <v>1</v>
      </c>
      <c r="AJ14" s="16">
        <v>1</v>
      </c>
      <c r="AK14" s="17">
        <v>0</v>
      </c>
      <c r="AL14" s="18">
        <v>0</v>
      </c>
      <c r="AM14" s="16">
        <v>0</v>
      </c>
      <c r="AN14" s="16">
        <v>0</v>
      </c>
      <c r="AO14" s="16">
        <v>1</v>
      </c>
      <c r="AP14" s="16">
        <v>1</v>
      </c>
      <c r="AQ14" s="16">
        <v>0</v>
      </c>
      <c r="AR14" s="16">
        <v>0</v>
      </c>
      <c r="AS14" s="16">
        <v>0</v>
      </c>
      <c r="AT14" s="17">
        <v>1</v>
      </c>
      <c r="AU14" s="18">
        <v>1</v>
      </c>
      <c r="AV14" s="16">
        <v>1</v>
      </c>
      <c r="AW14" s="16">
        <v>1</v>
      </c>
      <c r="AX14" s="16">
        <v>1</v>
      </c>
      <c r="AY14" s="16">
        <v>1</v>
      </c>
      <c r="AZ14" s="16">
        <v>1</v>
      </c>
      <c r="BA14" s="16">
        <v>0</v>
      </c>
    </row>
    <row r="15" spans="3:53" ht="18.75" customHeight="1" thickTop="1" thickBot="1" x14ac:dyDescent="0.5">
      <c r="C15" s="16">
        <v>0</v>
      </c>
      <c r="D15" s="16">
        <v>1</v>
      </c>
      <c r="E15" s="16">
        <v>1</v>
      </c>
      <c r="F15" s="16">
        <v>0</v>
      </c>
      <c r="G15" s="16">
        <v>0</v>
      </c>
      <c r="H15" s="16">
        <v>1</v>
      </c>
      <c r="I15" s="16">
        <v>1</v>
      </c>
      <c r="J15" s="17">
        <v>1</v>
      </c>
      <c r="K15" s="18">
        <v>1</v>
      </c>
      <c r="L15" s="18">
        <v>1</v>
      </c>
      <c r="M15" s="16">
        <v>1</v>
      </c>
      <c r="N15" s="16">
        <v>1</v>
      </c>
      <c r="O15" s="16">
        <v>1</v>
      </c>
      <c r="P15" s="16">
        <v>1</v>
      </c>
      <c r="Q15" s="16">
        <v>1</v>
      </c>
      <c r="R15" s="17">
        <v>1</v>
      </c>
      <c r="S15" s="18">
        <v>1</v>
      </c>
      <c r="T15" s="18">
        <v>1</v>
      </c>
      <c r="U15" s="16">
        <v>1</v>
      </c>
      <c r="V15" s="16">
        <v>1</v>
      </c>
      <c r="W15" s="16">
        <v>1</v>
      </c>
      <c r="X15" s="16">
        <v>1</v>
      </c>
      <c r="Y15" s="16">
        <v>1</v>
      </c>
      <c r="Z15" s="16">
        <v>0</v>
      </c>
      <c r="AD15" s="16">
        <v>0</v>
      </c>
      <c r="AE15" s="16">
        <v>1</v>
      </c>
      <c r="AF15" s="16">
        <v>1</v>
      </c>
      <c r="AG15" s="16">
        <v>1</v>
      </c>
      <c r="AH15" s="16">
        <v>1</v>
      </c>
      <c r="AI15" s="16">
        <v>1</v>
      </c>
      <c r="AJ15" s="16">
        <v>1</v>
      </c>
      <c r="AK15" s="17">
        <v>1</v>
      </c>
      <c r="AL15" s="18">
        <v>0</v>
      </c>
      <c r="AM15" s="16">
        <v>0</v>
      </c>
      <c r="AN15" s="16">
        <v>1</v>
      </c>
      <c r="AO15" s="16">
        <v>1</v>
      </c>
      <c r="AP15" s="16">
        <v>1</v>
      </c>
      <c r="AQ15" s="16">
        <v>1</v>
      </c>
      <c r="AR15" s="16">
        <v>1</v>
      </c>
      <c r="AS15" s="16">
        <v>1</v>
      </c>
      <c r="AT15" s="17">
        <v>1</v>
      </c>
      <c r="AU15" s="18">
        <v>1</v>
      </c>
      <c r="AV15" s="16">
        <v>1</v>
      </c>
      <c r="AW15" s="16">
        <v>1</v>
      </c>
      <c r="AX15" s="16">
        <v>1</v>
      </c>
      <c r="AY15" s="16">
        <v>1</v>
      </c>
      <c r="AZ15" s="16">
        <v>1</v>
      </c>
      <c r="BA15" s="16">
        <v>0</v>
      </c>
    </row>
    <row r="16" spans="3:53" ht="18.75" customHeight="1" thickTop="1" thickBot="1" x14ac:dyDescent="0.5">
      <c r="C16" s="16">
        <v>0</v>
      </c>
      <c r="D16" s="16">
        <v>1</v>
      </c>
      <c r="E16" s="16">
        <v>1</v>
      </c>
      <c r="F16" s="16">
        <v>0</v>
      </c>
      <c r="G16" s="16">
        <v>0</v>
      </c>
      <c r="H16" s="16">
        <v>1</v>
      </c>
      <c r="I16" s="16">
        <v>1</v>
      </c>
      <c r="J16" s="17">
        <v>0</v>
      </c>
      <c r="K16" s="18">
        <v>0</v>
      </c>
      <c r="L16" s="18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7">
        <v>0</v>
      </c>
      <c r="S16" s="18">
        <v>0</v>
      </c>
      <c r="T16" s="18">
        <v>1</v>
      </c>
      <c r="U16" s="16">
        <v>1</v>
      </c>
      <c r="V16" s="16">
        <v>0</v>
      </c>
      <c r="W16" s="16">
        <v>0</v>
      </c>
      <c r="X16" s="16">
        <v>1</v>
      </c>
      <c r="Y16" s="16">
        <v>1</v>
      </c>
      <c r="Z16" s="16">
        <v>0</v>
      </c>
      <c r="AD16" s="16">
        <v>0</v>
      </c>
      <c r="AE16" s="16">
        <v>0</v>
      </c>
      <c r="AF16" s="16">
        <v>1</v>
      </c>
      <c r="AG16" s="16">
        <v>1</v>
      </c>
      <c r="AH16" s="16">
        <v>1</v>
      </c>
      <c r="AI16" s="16">
        <v>1</v>
      </c>
      <c r="AJ16" s="16">
        <v>1</v>
      </c>
      <c r="AK16" s="17">
        <v>1</v>
      </c>
      <c r="AL16" s="18">
        <v>1</v>
      </c>
      <c r="AM16" s="16">
        <v>1</v>
      </c>
      <c r="AN16" s="16">
        <v>1</v>
      </c>
      <c r="AO16" s="16">
        <v>1</v>
      </c>
      <c r="AP16" s="16">
        <v>1</v>
      </c>
      <c r="AQ16" s="16">
        <v>1</v>
      </c>
      <c r="AR16" s="16">
        <v>1</v>
      </c>
      <c r="AS16" s="16">
        <v>1</v>
      </c>
      <c r="AT16" s="17">
        <v>1</v>
      </c>
      <c r="AU16" s="18">
        <v>1</v>
      </c>
      <c r="AV16" s="16">
        <v>1</v>
      </c>
      <c r="AW16" s="16">
        <v>1</v>
      </c>
      <c r="AX16" s="16">
        <v>1</v>
      </c>
      <c r="AY16" s="16">
        <v>1</v>
      </c>
      <c r="AZ16" s="16">
        <v>0</v>
      </c>
      <c r="BA16" s="16">
        <v>0</v>
      </c>
    </row>
    <row r="17" spans="3:53" ht="18.75" customHeight="1" thickTop="1" thickBot="1" x14ac:dyDescent="0.5">
      <c r="C17" s="16">
        <v>0</v>
      </c>
      <c r="D17" s="16">
        <v>1</v>
      </c>
      <c r="E17" s="16">
        <v>1</v>
      </c>
      <c r="F17" s="16">
        <v>0</v>
      </c>
      <c r="G17" s="16">
        <v>0</v>
      </c>
      <c r="H17" s="16">
        <v>1</v>
      </c>
      <c r="I17" s="16">
        <v>1</v>
      </c>
      <c r="J17" s="17">
        <v>0</v>
      </c>
      <c r="K17" s="18">
        <v>0</v>
      </c>
      <c r="L17" s="18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7">
        <v>0</v>
      </c>
      <c r="S17" s="18">
        <v>0</v>
      </c>
      <c r="T17" s="18">
        <v>1</v>
      </c>
      <c r="U17" s="16">
        <v>1</v>
      </c>
      <c r="V17" s="16">
        <v>0</v>
      </c>
      <c r="W17" s="16">
        <v>0</v>
      </c>
      <c r="X17" s="16">
        <v>1</v>
      </c>
      <c r="Y17" s="16">
        <v>1</v>
      </c>
      <c r="Z17" s="16">
        <v>0</v>
      </c>
      <c r="AD17" s="16">
        <v>0</v>
      </c>
      <c r="AE17" s="16">
        <v>0</v>
      </c>
      <c r="AF17" s="16">
        <v>1</v>
      </c>
      <c r="AG17" s="16">
        <v>1</v>
      </c>
      <c r="AH17" s="16">
        <v>1</v>
      </c>
      <c r="AI17" s="16">
        <v>1</v>
      </c>
      <c r="AJ17" s="16">
        <v>1</v>
      </c>
      <c r="AK17" s="17">
        <v>1</v>
      </c>
      <c r="AL17" s="18">
        <v>1</v>
      </c>
      <c r="AM17" s="16">
        <v>1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1</v>
      </c>
      <c r="AT17" s="17">
        <v>1</v>
      </c>
      <c r="AU17" s="18">
        <v>1</v>
      </c>
      <c r="AV17" s="16">
        <v>1</v>
      </c>
      <c r="AW17" s="16">
        <v>1</v>
      </c>
      <c r="AX17" s="16">
        <v>1</v>
      </c>
      <c r="AY17" s="16">
        <v>1</v>
      </c>
      <c r="AZ17" s="16">
        <v>0</v>
      </c>
      <c r="BA17" s="16">
        <v>0</v>
      </c>
    </row>
    <row r="18" spans="3:53" ht="18.75" customHeight="1" thickTop="1" thickBot="1" x14ac:dyDescent="0.5">
      <c r="C18" s="16">
        <v>0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7">
        <v>1</v>
      </c>
      <c r="K18" s="18">
        <v>1</v>
      </c>
      <c r="L18" s="18">
        <v>1</v>
      </c>
      <c r="M18" s="16">
        <v>1</v>
      </c>
      <c r="N18" s="16">
        <v>0</v>
      </c>
      <c r="O18" s="16">
        <v>0</v>
      </c>
      <c r="P18" s="16">
        <v>1</v>
      </c>
      <c r="Q18" s="16">
        <v>1</v>
      </c>
      <c r="R18" s="17">
        <v>1</v>
      </c>
      <c r="S18" s="18">
        <v>1</v>
      </c>
      <c r="T18" s="18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D18" s="16">
        <v>0</v>
      </c>
      <c r="AE18" s="16">
        <v>0</v>
      </c>
      <c r="AF18" s="16">
        <v>1</v>
      </c>
      <c r="AG18" s="16">
        <v>1</v>
      </c>
      <c r="AH18" s="16">
        <v>1</v>
      </c>
      <c r="AI18" s="16">
        <v>1</v>
      </c>
      <c r="AJ18" s="16">
        <v>1</v>
      </c>
      <c r="AK18" s="17">
        <v>1</v>
      </c>
      <c r="AL18" s="18">
        <v>1</v>
      </c>
      <c r="AM18" s="16">
        <v>0</v>
      </c>
      <c r="AN18" s="16">
        <v>0</v>
      </c>
      <c r="AO18" s="16">
        <v>1</v>
      </c>
      <c r="AP18" s="16">
        <v>1</v>
      </c>
      <c r="AQ18" s="16">
        <v>1</v>
      </c>
      <c r="AR18" s="16">
        <v>0</v>
      </c>
      <c r="AS18" s="16">
        <v>0</v>
      </c>
      <c r="AT18" s="17">
        <v>1</v>
      </c>
      <c r="AU18" s="18">
        <v>1</v>
      </c>
      <c r="AV18" s="16">
        <v>1</v>
      </c>
      <c r="AW18" s="16">
        <v>1</v>
      </c>
      <c r="AX18" s="16">
        <v>1</v>
      </c>
      <c r="AY18" s="16">
        <v>0</v>
      </c>
      <c r="AZ18" s="16">
        <v>0</v>
      </c>
      <c r="BA18" s="16">
        <v>0</v>
      </c>
    </row>
    <row r="19" spans="3:53" ht="18.75" customHeight="1" thickTop="1" thickBot="1" x14ac:dyDescent="0.5">
      <c r="C19" s="16">
        <v>0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7">
        <v>1</v>
      </c>
      <c r="K19" s="18">
        <v>1</v>
      </c>
      <c r="L19" s="18">
        <v>1</v>
      </c>
      <c r="M19" s="16">
        <v>1</v>
      </c>
      <c r="N19" s="16">
        <v>0</v>
      </c>
      <c r="O19" s="16">
        <v>0</v>
      </c>
      <c r="P19" s="16">
        <v>1</v>
      </c>
      <c r="Q19" s="16">
        <v>1</v>
      </c>
      <c r="R19" s="17">
        <v>1</v>
      </c>
      <c r="S19" s="18">
        <v>1</v>
      </c>
      <c r="T19" s="18">
        <v>0</v>
      </c>
      <c r="U19" s="16">
        <v>0</v>
      </c>
      <c r="V19" s="16">
        <v>0</v>
      </c>
      <c r="W19" s="16">
        <v>0</v>
      </c>
      <c r="X19" s="16">
        <v>0</v>
      </c>
      <c r="Y19" s="16">
        <v>0</v>
      </c>
      <c r="Z19" s="16">
        <v>0</v>
      </c>
      <c r="AD19" s="16">
        <v>0</v>
      </c>
      <c r="AE19" s="16">
        <v>0</v>
      </c>
      <c r="AF19" s="16">
        <v>1</v>
      </c>
      <c r="AG19" s="16">
        <v>1</v>
      </c>
      <c r="AH19" s="16">
        <v>1</v>
      </c>
      <c r="AI19" s="16">
        <v>1</v>
      </c>
      <c r="AJ19" s="16">
        <v>1</v>
      </c>
      <c r="AK19" s="17">
        <v>1</v>
      </c>
      <c r="AL19" s="18">
        <v>1</v>
      </c>
      <c r="AM19" s="16">
        <v>1</v>
      </c>
      <c r="AN19" s="16">
        <v>1</v>
      </c>
      <c r="AO19" s="16">
        <v>1</v>
      </c>
      <c r="AP19" s="16">
        <v>1</v>
      </c>
      <c r="AQ19" s="16">
        <v>1</v>
      </c>
      <c r="AR19" s="16">
        <v>1</v>
      </c>
      <c r="AS19" s="16">
        <v>1</v>
      </c>
      <c r="AT19" s="17">
        <v>1</v>
      </c>
      <c r="AU19" s="18">
        <v>1</v>
      </c>
      <c r="AV19" s="16">
        <v>1</v>
      </c>
      <c r="AW19" s="16">
        <v>1</v>
      </c>
      <c r="AX19" s="16">
        <v>0</v>
      </c>
      <c r="AY19" s="16">
        <v>0</v>
      </c>
      <c r="AZ19" s="16">
        <v>0</v>
      </c>
      <c r="BA19" s="16">
        <v>0</v>
      </c>
    </row>
    <row r="20" spans="3:53" ht="18.75" customHeight="1" thickTop="1" thickBot="1" x14ac:dyDescent="0.5">
      <c r="C20" s="16">
        <v>0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7">
        <v>0</v>
      </c>
      <c r="K20" s="18">
        <v>0</v>
      </c>
      <c r="L20" s="18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7">
        <v>0</v>
      </c>
      <c r="S20" s="18">
        <v>0</v>
      </c>
      <c r="T20" s="18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D20" s="16">
        <v>0</v>
      </c>
      <c r="AE20" s="16">
        <v>0</v>
      </c>
      <c r="AF20" s="16">
        <v>0</v>
      </c>
      <c r="AG20" s="16">
        <v>0</v>
      </c>
      <c r="AH20" s="16">
        <v>1</v>
      </c>
      <c r="AI20" s="16">
        <v>1</v>
      </c>
      <c r="AJ20" s="16">
        <v>1</v>
      </c>
      <c r="AK20" s="17">
        <v>1</v>
      </c>
      <c r="AL20" s="18">
        <v>1</v>
      </c>
      <c r="AM20" s="16">
        <v>1</v>
      </c>
      <c r="AN20" s="16">
        <v>1</v>
      </c>
      <c r="AO20" s="16">
        <v>1</v>
      </c>
      <c r="AP20" s="16">
        <v>1</v>
      </c>
      <c r="AQ20" s="16">
        <v>1</v>
      </c>
      <c r="AR20" s="16">
        <v>1</v>
      </c>
      <c r="AS20" s="16">
        <v>1</v>
      </c>
      <c r="AT20" s="17">
        <v>1</v>
      </c>
      <c r="AU20" s="18">
        <v>1</v>
      </c>
      <c r="AV20" s="16">
        <v>1</v>
      </c>
      <c r="AW20" s="16">
        <v>0</v>
      </c>
      <c r="AX20" s="16">
        <v>0</v>
      </c>
      <c r="AY20" s="16">
        <v>0</v>
      </c>
      <c r="AZ20" s="16">
        <v>0</v>
      </c>
      <c r="BA20" s="16">
        <v>0</v>
      </c>
    </row>
    <row r="21" spans="3:53" ht="18.75" customHeight="1" thickTop="1" thickBot="1" x14ac:dyDescent="0.5">
      <c r="C21" s="16">
        <v>0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7">
        <v>0</v>
      </c>
      <c r="K21" s="18">
        <v>0</v>
      </c>
      <c r="L21" s="18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7">
        <v>0</v>
      </c>
      <c r="S21" s="18">
        <v>0</v>
      </c>
      <c r="T21" s="18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1</v>
      </c>
      <c r="AJ21" s="16">
        <v>1</v>
      </c>
      <c r="AK21" s="17">
        <v>1</v>
      </c>
      <c r="AL21" s="18">
        <v>1</v>
      </c>
      <c r="AM21" s="16">
        <v>1</v>
      </c>
      <c r="AN21" s="16">
        <v>1</v>
      </c>
      <c r="AO21" s="16">
        <v>1</v>
      </c>
      <c r="AP21" s="16">
        <v>1</v>
      </c>
      <c r="AQ21" s="16">
        <v>1</v>
      </c>
      <c r="AR21" s="16">
        <v>1</v>
      </c>
      <c r="AS21" s="16">
        <v>1</v>
      </c>
      <c r="AT21" s="17">
        <v>1</v>
      </c>
      <c r="AU21" s="18">
        <v>1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</row>
    <row r="22" spans="3:53" ht="18.75" customHeight="1" thickTop="1" thickBot="1" x14ac:dyDescent="0.5">
      <c r="C22" s="16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7">
        <v>0</v>
      </c>
      <c r="K22" s="18">
        <v>0</v>
      </c>
      <c r="L22" s="18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7">
        <v>0</v>
      </c>
      <c r="S22" s="18">
        <v>0</v>
      </c>
      <c r="T22" s="18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D22" s="16">
        <v>0</v>
      </c>
      <c r="AE22" s="16">
        <v>0</v>
      </c>
      <c r="AF22" s="16">
        <v>0</v>
      </c>
      <c r="AG22" s="16">
        <v>0</v>
      </c>
      <c r="AH22" s="16">
        <v>0</v>
      </c>
      <c r="AI22" s="16">
        <v>0</v>
      </c>
      <c r="AJ22" s="16">
        <v>0</v>
      </c>
      <c r="AK22" s="17">
        <v>1</v>
      </c>
      <c r="AL22" s="18">
        <v>1</v>
      </c>
      <c r="AM22" s="16">
        <v>1</v>
      </c>
      <c r="AN22" s="16">
        <v>1</v>
      </c>
      <c r="AO22" s="16">
        <v>1</v>
      </c>
      <c r="AP22" s="16">
        <v>1</v>
      </c>
      <c r="AQ22" s="16">
        <v>1</v>
      </c>
      <c r="AR22" s="16">
        <v>1</v>
      </c>
      <c r="AS22" s="16">
        <v>1</v>
      </c>
      <c r="AT22" s="17">
        <v>1</v>
      </c>
      <c r="AU22" s="18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</row>
    <row r="23" spans="3:53" ht="18.75" customHeight="1" thickTop="1" thickBot="1" x14ac:dyDescent="0.5">
      <c r="C23" s="16">
        <v>0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7">
        <v>0</v>
      </c>
      <c r="K23" s="18">
        <v>0</v>
      </c>
      <c r="L23" s="18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7">
        <v>0</v>
      </c>
      <c r="S23" s="18">
        <v>0</v>
      </c>
      <c r="T23" s="18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7">
        <v>0</v>
      </c>
      <c r="AL23" s="18">
        <v>1</v>
      </c>
      <c r="AM23" s="16">
        <v>0</v>
      </c>
      <c r="AN23" s="16">
        <v>0</v>
      </c>
      <c r="AO23" s="16">
        <v>1</v>
      </c>
      <c r="AP23" s="16">
        <v>0</v>
      </c>
      <c r="AQ23" s="16">
        <v>1</v>
      </c>
      <c r="AR23" s="16">
        <v>0</v>
      </c>
      <c r="AS23" s="16">
        <v>0</v>
      </c>
      <c r="AT23" s="17">
        <v>0</v>
      </c>
      <c r="AU23" s="18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</row>
    <row r="24" spans="3:53" ht="18.75" customHeight="1" thickTop="1" x14ac:dyDescent="0.45"/>
    <row r="26" spans="3:53" ht="18.75" customHeight="1" thickBot="1" x14ac:dyDescent="0.5"/>
    <row r="27" spans="3:53" ht="18.75" customHeight="1" thickTop="1" thickBot="1" x14ac:dyDescent="0.5">
      <c r="C27" s="16">
        <v>0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7">
        <v>0</v>
      </c>
      <c r="K27" s="18">
        <v>0</v>
      </c>
      <c r="L27" s="16">
        <v>1</v>
      </c>
      <c r="M27" s="16">
        <v>1</v>
      </c>
      <c r="N27" s="16">
        <v>1</v>
      </c>
      <c r="O27" s="16">
        <v>1</v>
      </c>
      <c r="P27" s="16">
        <v>1</v>
      </c>
      <c r="Q27" s="16">
        <v>1</v>
      </c>
      <c r="R27" s="17">
        <v>0</v>
      </c>
      <c r="S27" s="18">
        <v>0</v>
      </c>
      <c r="T27" s="16">
        <v>0</v>
      </c>
      <c r="U27" s="16">
        <v>0</v>
      </c>
      <c r="V27" s="16">
        <v>0</v>
      </c>
      <c r="W27" s="16">
        <v>0</v>
      </c>
      <c r="X27" s="16">
        <v>0</v>
      </c>
      <c r="Y27" s="16">
        <v>0</v>
      </c>
      <c r="Z27" s="16">
        <v>0</v>
      </c>
    </row>
    <row r="28" spans="3:53" ht="18.75" customHeight="1" thickTop="1" thickBot="1" x14ac:dyDescent="0.5">
      <c r="C28" s="16">
        <v>0</v>
      </c>
      <c r="D28" s="16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7">
        <v>1</v>
      </c>
      <c r="K28" s="18">
        <v>1</v>
      </c>
      <c r="L28" s="16">
        <v>1</v>
      </c>
      <c r="M28" s="16">
        <v>1</v>
      </c>
      <c r="N28" s="16">
        <v>1</v>
      </c>
      <c r="O28" s="16">
        <v>1</v>
      </c>
      <c r="P28" s="16">
        <v>1</v>
      </c>
      <c r="Q28" s="16">
        <v>1</v>
      </c>
      <c r="R28" s="17">
        <v>1</v>
      </c>
      <c r="S28" s="18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0</v>
      </c>
    </row>
    <row r="29" spans="3:53" ht="18.75" customHeight="1" thickTop="1" thickBot="1" x14ac:dyDescent="0.5">
      <c r="C29" s="16">
        <v>0</v>
      </c>
      <c r="D29" s="16">
        <v>0</v>
      </c>
      <c r="E29" s="16">
        <v>0</v>
      </c>
      <c r="F29" s="16">
        <v>0</v>
      </c>
      <c r="G29" s="16">
        <v>0</v>
      </c>
      <c r="H29" s="16">
        <v>0</v>
      </c>
      <c r="I29" s="16">
        <v>1</v>
      </c>
      <c r="J29" s="17">
        <v>1</v>
      </c>
      <c r="K29" s="18">
        <v>1</v>
      </c>
      <c r="L29" s="16">
        <v>1</v>
      </c>
      <c r="M29" s="16">
        <v>1</v>
      </c>
      <c r="N29" s="16">
        <v>1</v>
      </c>
      <c r="O29" s="16">
        <v>1</v>
      </c>
      <c r="P29" s="16">
        <v>1</v>
      </c>
      <c r="Q29" s="16">
        <v>1</v>
      </c>
      <c r="R29" s="17">
        <v>1</v>
      </c>
      <c r="S29" s="18">
        <v>1</v>
      </c>
      <c r="T29" s="16">
        <v>1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0</v>
      </c>
    </row>
    <row r="30" spans="3:53" ht="18.75" customHeight="1" thickTop="1" thickBot="1" x14ac:dyDescent="0.5">
      <c r="C30" s="16">
        <v>0</v>
      </c>
      <c r="D30" s="16">
        <v>0</v>
      </c>
      <c r="E30" s="16">
        <v>0</v>
      </c>
      <c r="F30" s="16">
        <v>0</v>
      </c>
      <c r="G30" s="16">
        <v>0</v>
      </c>
      <c r="H30" s="16">
        <v>1</v>
      </c>
      <c r="I30" s="16">
        <v>1</v>
      </c>
      <c r="J30" s="17">
        <v>1</v>
      </c>
      <c r="K30" s="18">
        <v>1</v>
      </c>
      <c r="L30" s="16">
        <v>1</v>
      </c>
      <c r="M30" s="16">
        <v>1</v>
      </c>
      <c r="N30" s="16">
        <v>1</v>
      </c>
      <c r="O30" s="16">
        <v>1</v>
      </c>
      <c r="P30" s="16">
        <v>1</v>
      </c>
      <c r="Q30" s="16">
        <v>1</v>
      </c>
      <c r="R30" s="17">
        <v>1</v>
      </c>
      <c r="S30" s="18">
        <v>1</v>
      </c>
      <c r="T30" s="16">
        <v>1</v>
      </c>
      <c r="U30" s="16">
        <v>1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</row>
    <row r="31" spans="3:53" ht="18.75" customHeight="1" thickTop="1" thickBot="1" x14ac:dyDescent="0.5">
      <c r="C31" s="16">
        <v>0</v>
      </c>
      <c r="D31" s="16">
        <v>0</v>
      </c>
      <c r="E31" s="16">
        <v>0</v>
      </c>
      <c r="F31" s="16">
        <v>0</v>
      </c>
      <c r="G31" s="16">
        <v>1</v>
      </c>
      <c r="H31" s="16">
        <v>1</v>
      </c>
      <c r="I31" s="16">
        <v>1</v>
      </c>
      <c r="J31" s="17">
        <v>1</v>
      </c>
      <c r="K31" s="18">
        <v>1</v>
      </c>
      <c r="L31" s="16">
        <v>1</v>
      </c>
      <c r="M31" s="16">
        <v>1</v>
      </c>
      <c r="N31" s="16">
        <v>1</v>
      </c>
      <c r="O31" s="16">
        <v>1</v>
      </c>
      <c r="P31" s="16">
        <v>1</v>
      </c>
      <c r="Q31" s="16">
        <v>1</v>
      </c>
      <c r="R31" s="17">
        <v>1</v>
      </c>
      <c r="S31" s="18">
        <v>1</v>
      </c>
      <c r="T31" s="16">
        <v>1</v>
      </c>
      <c r="U31" s="16">
        <v>1</v>
      </c>
      <c r="V31" s="16">
        <v>1</v>
      </c>
      <c r="W31" s="16">
        <v>0</v>
      </c>
      <c r="X31" s="16">
        <v>0</v>
      </c>
      <c r="Y31" s="16">
        <v>0</v>
      </c>
      <c r="Z31" s="16">
        <v>0</v>
      </c>
    </row>
    <row r="32" spans="3:53" ht="18.75" customHeight="1" thickTop="1" thickBot="1" x14ac:dyDescent="0.5">
      <c r="C32" s="16">
        <v>0</v>
      </c>
      <c r="D32" s="16">
        <v>0</v>
      </c>
      <c r="E32" s="16">
        <v>0</v>
      </c>
      <c r="F32" s="16">
        <v>1</v>
      </c>
      <c r="G32" s="16">
        <v>1</v>
      </c>
      <c r="H32" s="16">
        <v>1</v>
      </c>
      <c r="I32" s="16">
        <v>1</v>
      </c>
      <c r="J32" s="17">
        <v>1</v>
      </c>
      <c r="K32" s="18">
        <v>1</v>
      </c>
      <c r="L32" s="16">
        <v>1</v>
      </c>
      <c r="M32" s="16">
        <v>1</v>
      </c>
      <c r="N32" s="16">
        <v>1</v>
      </c>
      <c r="O32" s="16">
        <v>1</v>
      </c>
      <c r="P32" s="16">
        <v>1</v>
      </c>
      <c r="Q32" s="16">
        <v>1</v>
      </c>
      <c r="R32" s="17">
        <v>1</v>
      </c>
      <c r="S32" s="18">
        <v>1</v>
      </c>
      <c r="T32" s="16">
        <v>1</v>
      </c>
      <c r="U32" s="16">
        <v>1</v>
      </c>
      <c r="V32" s="16">
        <v>1</v>
      </c>
      <c r="W32" s="16">
        <v>1</v>
      </c>
      <c r="X32" s="16">
        <v>0</v>
      </c>
      <c r="Y32" s="16">
        <v>0</v>
      </c>
      <c r="Z32" s="16">
        <v>0</v>
      </c>
    </row>
    <row r="33" spans="3:26" ht="18.75" customHeight="1" thickTop="1" thickBot="1" x14ac:dyDescent="0.5">
      <c r="C33" s="16">
        <v>0</v>
      </c>
      <c r="D33" s="16">
        <v>0</v>
      </c>
      <c r="E33" s="16">
        <v>0</v>
      </c>
      <c r="F33" s="16">
        <v>1</v>
      </c>
      <c r="G33" s="16">
        <v>1</v>
      </c>
      <c r="H33" s="16">
        <v>1</v>
      </c>
      <c r="I33" s="16">
        <v>1</v>
      </c>
      <c r="J33" s="17">
        <v>1</v>
      </c>
      <c r="K33" s="18">
        <v>1</v>
      </c>
      <c r="L33" s="16">
        <v>1</v>
      </c>
      <c r="M33" s="16">
        <v>1</v>
      </c>
      <c r="N33" s="16">
        <v>1</v>
      </c>
      <c r="O33" s="16">
        <v>1</v>
      </c>
      <c r="P33" s="16">
        <v>1</v>
      </c>
      <c r="Q33" s="16">
        <v>1</v>
      </c>
      <c r="R33" s="17">
        <v>1</v>
      </c>
      <c r="S33" s="18">
        <v>1</v>
      </c>
      <c r="T33" s="16">
        <v>1</v>
      </c>
      <c r="U33" s="16">
        <v>1</v>
      </c>
      <c r="V33" s="16">
        <v>1</v>
      </c>
      <c r="W33" s="16">
        <v>1</v>
      </c>
      <c r="X33" s="16">
        <v>0</v>
      </c>
      <c r="Y33" s="16">
        <v>0</v>
      </c>
      <c r="Z33" s="16">
        <v>0</v>
      </c>
    </row>
    <row r="34" spans="3:26" ht="18.75" customHeight="1" thickTop="1" thickBot="1" x14ac:dyDescent="0.5">
      <c r="C34" s="16">
        <v>0</v>
      </c>
      <c r="D34" s="16">
        <v>0</v>
      </c>
      <c r="E34" s="16">
        <v>1</v>
      </c>
      <c r="F34" s="16">
        <v>1</v>
      </c>
      <c r="G34" s="16">
        <v>1</v>
      </c>
      <c r="H34" s="16">
        <v>1</v>
      </c>
      <c r="I34" s="16">
        <v>1</v>
      </c>
      <c r="J34" s="17">
        <v>1</v>
      </c>
      <c r="K34" s="18">
        <v>1</v>
      </c>
      <c r="L34" s="16">
        <v>1</v>
      </c>
      <c r="M34" s="16">
        <v>1</v>
      </c>
      <c r="N34" s="16">
        <v>1</v>
      </c>
      <c r="O34" s="16">
        <v>1</v>
      </c>
      <c r="P34" s="16">
        <v>1</v>
      </c>
      <c r="Q34" s="16">
        <v>1</v>
      </c>
      <c r="R34" s="17">
        <v>1</v>
      </c>
      <c r="S34" s="18">
        <v>1</v>
      </c>
      <c r="T34" s="16">
        <v>1</v>
      </c>
      <c r="U34" s="16">
        <v>1</v>
      </c>
      <c r="V34" s="16">
        <v>1</v>
      </c>
      <c r="W34" s="16">
        <v>1</v>
      </c>
      <c r="X34" s="16">
        <v>1</v>
      </c>
      <c r="Y34" s="16">
        <v>0</v>
      </c>
      <c r="Z34" s="16">
        <v>0</v>
      </c>
    </row>
    <row r="35" spans="3:26" ht="18.75" customHeight="1" thickTop="1" thickBot="1" x14ac:dyDescent="0.5">
      <c r="C35" s="16">
        <v>0</v>
      </c>
      <c r="D35" s="16">
        <v>0</v>
      </c>
      <c r="E35" s="16">
        <v>1</v>
      </c>
      <c r="F35" s="16">
        <v>1</v>
      </c>
      <c r="G35" s="16">
        <v>1</v>
      </c>
      <c r="H35" s="16">
        <v>1</v>
      </c>
      <c r="I35" s="16">
        <v>1</v>
      </c>
      <c r="J35" s="17">
        <v>1</v>
      </c>
      <c r="K35" s="18">
        <v>1</v>
      </c>
      <c r="L35" s="16">
        <v>1</v>
      </c>
      <c r="M35" s="16">
        <v>1</v>
      </c>
      <c r="N35" s="16">
        <v>1</v>
      </c>
      <c r="O35" s="16">
        <v>1</v>
      </c>
      <c r="P35" s="16">
        <v>1</v>
      </c>
      <c r="Q35" s="16">
        <v>1</v>
      </c>
      <c r="R35" s="17">
        <v>1</v>
      </c>
      <c r="S35" s="18">
        <v>1</v>
      </c>
      <c r="T35" s="16">
        <v>1</v>
      </c>
      <c r="U35" s="16">
        <v>1</v>
      </c>
      <c r="V35" s="16">
        <v>1</v>
      </c>
      <c r="W35" s="16">
        <v>1</v>
      </c>
      <c r="X35" s="16">
        <v>1</v>
      </c>
      <c r="Y35" s="16">
        <v>0</v>
      </c>
      <c r="Z35" s="16">
        <v>0</v>
      </c>
    </row>
    <row r="36" spans="3:26" ht="18.75" customHeight="1" thickTop="1" thickBot="1" x14ac:dyDescent="0.5">
      <c r="C36" s="16">
        <v>0</v>
      </c>
      <c r="D36" s="16">
        <v>0</v>
      </c>
      <c r="E36" s="16">
        <v>1</v>
      </c>
      <c r="F36" s="16">
        <v>1</v>
      </c>
      <c r="G36" s="16">
        <v>1</v>
      </c>
      <c r="H36" s="16">
        <v>1</v>
      </c>
      <c r="I36" s="16">
        <v>1</v>
      </c>
      <c r="J36" s="17">
        <v>1</v>
      </c>
      <c r="K36" s="18">
        <v>1</v>
      </c>
      <c r="L36" s="16">
        <v>1</v>
      </c>
      <c r="M36" s="16">
        <v>1</v>
      </c>
      <c r="N36" s="16">
        <v>1</v>
      </c>
      <c r="O36" s="16">
        <v>1</v>
      </c>
      <c r="P36" s="16">
        <v>1</v>
      </c>
      <c r="Q36" s="16">
        <v>1</v>
      </c>
      <c r="R36" s="17">
        <v>1</v>
      </c>
      <c r="S36" s="18">
        <v>1</v>
      </c>
      <c r="T36" s="16">
        <v>1</v>
      </c>
      <c r="U36" s="16">
        <v>1</v>
      </c>
      <c r="V36" s="16">
        <v>1</v>
      </c>
      <c r="W36" s="16">
        <v>1</v>
      </c>
      <c r="X36" s="16">
        <v>1</v>
      </c>
      <c r="Y36" s="16">
        <v>0</v>
      </c>
      <c r="Z36" s="16">
        <v>0</v>
      </c>
    </row>
    <row r="37" spans="3:26" ht="18.75" customHeight="1" thickTop="1" thickBot="1" x14ac:dyDescent="0.5">
      <c r="C37" s="16">
        <v>0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6">
        <v>1</v>
      </c>
      <c r="J37" s="17">
        <v>1</v>
      </c>
      <c r="K37" s="18">
        <v>1</v>
      </c>
      <c r="L37" s="16">
        <v>1</v>
      </c>
      <c r="M37" s="16">
        <v>1</v>
      </c>
      <c r="N37" s="16">
        <v>1</v>
      </c>
      <c r="O37" s="16">
        <v>1</v>
      </c>
      <c r="P37" s="16">
        <v>1</v>
      </c>
      <c r="Q37" s="16">
        <v>1</v>
      </c>
      <c r="R37" s="17">
        <v>1</v>
      </c>
      <c r="S37" s="18">
        <v>1</v>
      </c>
      <c r="T37" s="16">
        <v>1</v>
      </c>
      <c r="U37" s="16">
        <v>1</v>
      </c>
      <c r="V37" s="16">
        <v>1</v>
      </c>
      <c r="W37" s="16">
        <v>1</v>
      </c>
      <c r="X37" s="16">
        <v>1</v>
      </c>
      <c r="Y37" s="16">
        <v>0</v>
      </c>
      <c r="Z37" s="16">
        <v>0</v>
      </c>
    </row>
    <row r="38" spans="3:26" ht="18.75" customHeight="1" thickTop="1" thickBot="1" x14ac:dyDescent="0.5">
      <c r="C38" s="16">
        <v>0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6">
        <v>1</v>
      </c>
      <c r="J38" s="17">
        <v>1</v>
      </c>
      <c r="K38" s="18">
        <v>1</v>
      </c>
      <c r="L38" s="16">
        <v>1</v>
      </c>
      <c r="M38" s="16">
        <v>1</v>
      </c>
      <c r="N38" s="16">
        <v>1</v>
      </c>
      <c r="O38" s="16">
        <v>1</v>
      </c>
      <c r="P38" s="16">
        <v>1</v>
      </c>
      <c r="Q38" s="16">
        <v>1</v>
      </c>
      <c r="R38" s="17">
        <v>1</v>
      </c>
      <c r="S38" s="18">
        <v>1</v>
      </c>
      <c r="T38" s="16">
        <v>1</v>
      </c>
      <c r="U38" s="16">
        <v>1</v>
      </c>
      <c r="V38" s="16">
        <v>1</v>
      </c>
      <c r="W38" s="16">
        <v>1</v>
      </c>
      <c r="X38" s="16">
        <v>1</v>
      </c>
      <c r="Y38" s="16">
        <v>0</v>
      </c>
      <c r="Z38" s="16">
        <v>0</v>
      </c>
    </row>
    <row r="39" spans="3:26" ht="18.75" customHeight="1" thickTop="1" thickBot="1" x14ac:dyDescent="0.5">
      <c r="C39" s="16">
        <v>0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6">
        <v>1</v>
      </c>
      <c r="J39" s="17">
        <v>1</v>
      </c>
      <c r="K39" s="18">
        <v>1</v>
      </c>
      <c r="L39" s="16">
        <v>1</v>
      </c>
      <c r="M39" s="16">
        <v>1</v>
      </c>
      <c r="N39" s="16">
        <v>1</v>
      </c>
      <c r="O39" s="16">
        <v>1</v>
      </c>
      <c r="P39" s="16">
        <v>1</v>
      </c>
      <c r="Q39" s="16">
        <v>1</v>
      </c>
      <c r="R39" s="17">
        <v>1</v>
      </c>
      <c r="S39" s="18">
        <v>1</v>
      </c>
      <c r="T39" s="16">
        <v>1</v>
      </c>
      <c r="U39" s="16">
        <v>1</v>
      </c>
      <c r="V39" s="16">
        <v>1</v>
      </c>
      <c r="W39" s="16">
        <v>1</v>
      </c>
      <c r="X39" s="16">
        <v>1</v>
      </c>
      <c r="Y39" s="16">
        <v>0</v>
      </c>
      <c r="Z39" s="16">
        <v>0</v>
      </c>
    </row>
    <row r="40" spans="3:26" ht="18.75" customHeight="1" thickTop="1" thickBot="1" x14ac:dyDescent="0.5">
      <c r="C40" s="16">
        <v>0</v>
      </c>
      <c r="D40" s="16">
        <v>0</v>
      </c>
      <c r="E40" s="16">
        <v>1</v>
      </c>
      <c r="F40" s="16">
        <v>1</v>
      </c>
      <c r="G40" s="16">
        <v>1</v>
      </c>
      <c r="H40" s="16">
        <v>1</v>
      </c>
      <c r="I40" s="16">
        <v>1</v>
      </c>
      <c r="J40" s="17">
        <v>1</v>
      </c>
      <c r="K40" s="18">
        <v>1</v>
      </c>
      <c r="L40" s="16">
        <v>1</v>
      </c>
      <c r="M40" s="16">
        <v>1</v>
      </c>
      <c r="N40" s="16">
        <v>1</v>
      </c>
      <c r="O40" s="16">
        <v>1</v>
      </c>
      <c r="P40" s="16">
        <v>1</v>
      </c>
      <c r="Q40" s="16">
        <v>1</v>
      </c>
      <c r="R40" s="17">
        <v>1</v>
      </c>
      <c r="S40" s="18">
        <v>1</v>
      </c>
      <c r="T40" s="16">
        <v>1</v>
      </c>
      <c r="U40" s="16">
        <v>1</v>
      </c>
      <c r="V40" s="16">
        <v>1</v>
      </c>
      <c r="W40" s="16">
        <v>1</v>
      </c>
      <c r="X40" s="16">
        <v>1</v>
      </c>
      <c r="Y40" s="16">
        <v>0</v>
      </c>
      <c r="Z40" s="16">
        <v>0</v>
      </c>
    </row>
    <row r="41" spans="3:26" ht="18.75" customHeight="1" thickTop="1" thickBot="1" x14ac:dyDescent="0.5">
      <c r="C41" s="16">
        <v>0</v>
      </c>
      <c r="D41" s="16">
        <v>0</v>
      </c>
      <c r="E41" s="16">
        <v>0</v>
      </c>
      <c r="F41" s="16">
        <v>1</v>
      </c>
      <c r="G41" s="16">
        <v>1</v>
      </c>
      <c r="H41" s="16">
        <v>1</v>
      </c>
      <c r="I41" s="16">
        <v>1</v>
      </c>
      <c r="J41" s="17">
        <v>1</v>
      </c>
      <c r="K41" s="18">
        <v>1</v>
      </c>
      <c r="L41" s="16">
        <v>1</v>
      </c>
      <c r="M41" s="16">
        <v>1</v>
      </c>
      <c r="N41" s="16">
        <v>1</v>
      </c>
      <c r="O41" s="16">
        <v>1</v>
      </c>
      <c r="P41" s="16">
        <v>1</v>
      </c>
      <c r="Q41" s="16">
        <v>1</v>
      </c>
      <c r="R41" s="17">
        <v>1</v>
      </c>
      <c r="S41" s="18">
        <v>1</v>
      </c>
      <c r="T41" s="16">
        <v>1</v>
      </c>
      <c r="U41" s="16">
        <v>1</v>
      </c>
      <c r="V41" s="16">
        <v>1</v>
      </c>
      <c r="W41" s="16">
        <v>1</v>
      </c>
      <c r="X41" s="16">
        <v>0</v>
      </c>
      <c r="Y41" s="16">
        <v>0</v>
      </c>
      <c r="Z41" s="16">
        <v>0</v>
      </c>
    </row>
    <row r="42" spans="3:26" ht="18.75" customHeight="1" thickTop="1" thickBot="1" x14ac:dyDescent="0.5">
      <c r="C42" s="16">
        <v>0</v>
      </c>
      <c r="D42" s="16">
        <v>0</v>
      </c>
      <c r="E42" s="16">
        <v>0</v>
      </c>
      <c r="F42" s="16">
        <v>1</v>
      </c>
      <c r="G42" s="16">
        <v>1</v>
      </c>
      <c r="H42" s="16">
        <v>1</v>
      </c>
      <c r="I42" s="16">
        <v>1</v>
      </c>
      <c r="J42" s="17">
        <v>1</v>
      </c>
      <c r="K42" s="18">
        <v>1</v>
      </c>
      <c r="L42" s="16">
        <v>1</v>
      </c>
      <c r="M42" s="16">
        <v>1</v>
      </c>
      <c r="N42" s="16">
        <v>1</v>
      </c>
      <c r="O42" s="16">
        <v>1</v>
      </c>
      <c r="P42" s="16">
        <v>1</v>
      </c>
      <c r="Q42" s="16">
        <v>1</v>
      </c>
      <c r="R42" s="17">
        <v>1</v>
      </c>
      <c r="S42" s="18">
        <v>1</v>
      </c>
      <c r="T42" s="16">
        <v>1</v>
      </c>
      <c r="U42" s="16">
        <v>1</v>
      </c>
      <c r="V42" s="16">
        <v>1</v>
      </c>
      <c r="W42" s="16">
        <v>1</v>
      </c>
      <c r="X42" s="16">
        <v>0</v>
      </c>
      <c r="Y42" s="16">
        <v>0</v>
      </c>
      <c r="Z42" s="16">
        <v>0</v>
      </c>
    </row>
    <row r="43" spans="3:26" ht="18.75" customHeight="1" thickTop="1" thickBot="1" x14ac:dyDescent="0.5">
      <c r="C43" s="16">
        <v>0</v>
      </c>
      <c r="D43" s="16">
        <v>0</v>
      </c>
      <c r="E43" s="16">
        <v>0</v>
      </c>
      <c r="F43" s="16">
        <v>0</v>
      </c>
      <c r="G43" s="16">
        <v>1</v>
      </c>
      <c r="H43" s="16">
        <v>1</v>
      </c>
      <c r="I43" s="16">
        <v>1</v>
      </c>
      <c r="J43" s="17">
        <v>1</v>
      </c>
      <c r="K43" s="18">
        <v>1</v>
      </c>
      <c r="L43" s="16">
        <v>1</v>
      </c>
      <c r="M43" s="16">
        <v>1</v>
      </c>
      <c r="N43" s="16">
        <v>1</v>
      </c>
      <c r="O43" s="16">
        <v>1</v>
      </c>
      <c r="P43" s="16">
        <v>1</v>
      </c>
      <c r="Q43" s="16">
        <v>1</v>
      </c>
      <c r="R43" s="17">
        <v>1</v>
      </c>
      <c r="S43" s="18">
        <v>1</v>
      </c>
      <c r="T43" s="16">
        <v>1</v>
      </c>
      <c r="U43" s="16">
        <v>1</v>
      </c>
      <c r="V43" s="16">
        <v>1</v>
      </c>
      <c r="W43" s="16">
        <v>0</v>
      </c>
      <c r="X43" s="16">
        <v>0</v>
      </c>
      <c r="Y43" s="16">
        <v>0</v>
      </c>
      <c r="Z43" s="16">
        <v>0</v>
      </c>
    </row>
    <row r="44" spans="3:26" ht="18.75" customHeight="1" thickTop="1" thickBot="1" x14ac:dyDescent="0.5">
      <c r="C44" s="16">
        <v>0</v>
      </c>
      <c r="D44" s="16">
        <v>0</v>
      </c>
      <c r="E44" s="16">
        <v>0</v>
      </c>
      <c r="F44" s="16">
        <v>0</v>
      </c>
      <c r="G44" s="16">
        <v>0</v>
      </c>
      <c r="H44" s="16">
        <v>1</v>
      </c>
      <c r="I44" s="16">
        <v>1</v>
      </c>
      <c r="J44" s="17">
        <v>1</v>
      </c>
      <c r="K44" s="18">
        <v>1</v>
      </c>
      <c r="L44" s="16">
        <v>1</v>
      </c>
      <c r="M44" s="16">
        <v>1</v>
      </c>
      <c r="N44" s="16">
        <v>1</v>
      </c>
      <c r="O44" s="16">
        <v>1</v>
      </c>
      <c r="P44" s="16">
        <v>1</v>
      </c>
      <c r="Q44" s="16">
        <v>1</v>
      </c>
      <c r="R44" s="17">
        <v>1</v>
      </c>
      <c r="S44" s="18">
        <v>1</v>
      </c>
      <c r="T44" s="16">
        <v>1</v>
      </c>
      <c r="U44" s="16">
        <v>1</v>
      </c>
      <c r="V44" s="16">
        <v>0</v>
      </c>
      <c r="W44" s="16">
        <v>0</v>
      </c>
      <c r="X44" s="16">
        <v>0</v>
      </c>
      <c r="Y44" s="16">
        <v>0</v>
      </c>
      <c r="Z44" s="16">
        <v>0</v>
      </c>
    </row>
    <row r="45" spans="3:26" ht="18.75" customHeight="1" thickTop="1" thickBot="1" x14ac:dyDescent="0.5">
      <c r="C45" s="16">
        <v>0</v>
      </c>
      <c r="D45" s="16">
        <v>0</v>
      </c>
      <c r="E45" s="16">
        <v>0</v>
      </c>
      <c r="F45" s="16">
        <v>0</v>
      </c>
      <c r="G45" s="16">
        <v>0</v>
      </c>
      <c r="H45" s="16">
        <v>0</v>
      </c>
      <c r="I45" s="16">
        <v>1</v>
      </c>
      <c r="J45" s="17">
        <v>1</v>
      </c>
      <c r="K45" s="18">
        <v>1</v>
      </c>
      <c r="L45" s="16">
        <v>1</v>
      </c>
      <c r="M45" s="16">
        <v>1</v>
      </c>
      <c r="N45" s="16">
        <v>1</v>
      </c>
      <c r="O45" s="16">
        <v>1</v>
      </c>
      <c r="P45" s="16">
        <v>1</v>
      </c>
      <c r="Q45" s="16">
        <v>1</v>
      </c>
      <c r="R45" s="17">
        <v>1</v>
      </c>
      <c r="S45" s="18">
        <v>1</v>
      </c>
      <c r="T45" s="16">
        <v>1</v>
      </c>
      <c r="U45" s="16">
        <v>0</v>
      </c>
      <c r="V45" s="16">
        <v>0</v>
      </c>
      <c r="W45" s="16">
        <v>0</v>
      </c>
      <c r="X45" s="16">
        <v>0</v>
      </c>
      <c r="Y45" s="16">
        <v>0</v>
      </c>
      <c r="Z45" s="16">
        <v>0</v>
      </c>
    </row>
    <row r="46" spans="3:26" ht="18.75" customHeight="1" thickTop="1" thickBot="1" x14ac:dyDescent="0.5">
      <c r="C46" s="16">
        <v>0</v>
      </c>
      <c r="D46" s="16">
        <v>0</v>
      </c>
      <c r="E46" s="16">
        <v>0</v>
      </c>
      <c r="F46" s="16">
        <v>0</v>
      </c>
      <c r="G46" s="16">
        <v>0</v>
      </c>
      <c r="H46" s="16">
        <v>0</v>
      </c>
      <c r="I46" s="16">
        <v>0</v>
      </c>
      <c r="J46" s="17">
        <v>1</v>
      </c>
      <c r="K46" s="18">
        <v>1</v>
      </c>
      <c r="L46" s="16">
        <v>1</v>
      </c>
      <c r="M46" s="16">
        <v>1</v>
      </c>
      <c r="N46" s="16">
        <v>1</v>
      </c>
      <c r="O46" s="16">
        <v>1</v>
      </c>
      <c r="P46" s="16">
        <v>1</v>
      </c>
      <c r="Q46" s="16">
        <v>1</v>
      </c>
      <c r="R46" s="17">
        <v>1</v>
      </c>
      <c r="S46" s="18">
        <v>1</v>
      </c>
      <c r="T46" s="16">
        <v>0</v>
      </c>
      <c r="U46" s="16">
        <v>0</v>
      </c>
      <c r="V46" s="16">
        <v>0</v>
      </c>
      <c r="W46" s="16">
        <v>0</v>
      </c>
      <c r="X46" s="16">
        <v>0</v>
      </c>
      <c r="Y46" s="16">
        <v>0</v>
      </c>
      <c r="Z46" s="16">
        <v>0</v>
      </c>
    </row>
    <row r="47" spans="3:26" ht="18.75" customHeight="1" thickTop="1" thickBot="1" x14ac:dyDescent="0.5">
      <c r="C47" s="16">
        <v>0</v>
      </c>
      <c r="D47" s="16">
        <v>0</v>
      </c>
      <c r="E47" s="16">
        <v>0</v>
      </c>
      <c r="F47" s="16">
        <v>0</v>
      </c>
      <c r="G47" s="16">
        <v>0</v>
      </c>
      <c r="H47" s="16">
        <v>0</v>
      </c>
      <c r="I47" s="16">
        <v>0</v>
      </c>
      <c r="J47" s="17">
        <v>0</v>
      </c>
      <c r="K47" s="18">
        <v>0</v>
      </c>
      <c r="L47" s="16">
        <v>1</v>
      </c>
      <c r="M47" s="16">
        <v>1</v>
      </c>
      <c r="N47" s="16">
        <v>1</v>
      </c>
      <c r="O47" s="16">
        <v>1</v>
      </c>
      <c r="P47" s="16">
        <v>1</v>
      </c>
      <c r="Q47" s="16">
        <v>1</v>
      </c>
      <c r="R47" s="17">
        <v>0</v>
      </c>
      <c r="S47" s="18">
        <v>0</v>
      </c>
      <c r="T47" s="16">
        <v>0</v>
      </c>
      <c r="U47" s="16">
        <v>0</v>
      </c>
      <c r="V47" s="16">
        <v>0</v>
      </c>
      <c r="W47" s="16">
        <v>0</v>
      </c>
      <c r="X47" s="16">
        <v>0</v>
      </c>
      <c r="Y47" s="16">
        <v>0</v>
      </c>
      <c r="Z47" s="16">
        <v>0</v>
      </c>
    </row>
    <row r="48" spans="3:26" ht="18.75" customHeight="1" thickTop="1" x14ac:dyDescent="0.45"/>
  </sheetData>
  <conditionalFormatting sqref="C3:Z23">
    <cfRule type="cellIs" dxfId="2" priority="3" operator="equal">
      <formula>1</formula>
    </cfRule>
  </conditionalFormatting>
  <conditionalFormatting sqref="C27:Z47">
    <cfRule type="cellIs" dxfId="1" priority="2" operator="equal">
      <formula>1</formula>
    </cfRule>
  </conditionalFormatting>
  <conditionalFormatting sqref="AD3:BA23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SpriteCreator</vt:lpstr>
      <vt:lpstr>Char to Screen Byte Value</vt:lpstr>
      <vt:lpstr>Sprite-examples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sjef van wezel</dc:creator>
  <cp:lastModifiedBy>sjef van wezel</cp:lastModifiedBy>
  <dcterms:created xsi:type="dcterms:W3CDTF">2025-02-28T19:31:52Z</dcterms:created>
  <dcterms:modified xsi:type="dcterms:W3CDTF">2025-08-16T13:51:31Z</dcterms:modified>
</cp:coreProperties>
</file>